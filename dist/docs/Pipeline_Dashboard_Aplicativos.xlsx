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DevSecOps.VulnAnalyzer\DevSecOps.VulnAnalyzer\dist\docs\"/>
    </mc:Choice>
  </mc:AlternateContent>
  <xr:revisionPtr revIDLastSave="0" documentId="8_{E749BECC-55D9-40F0-9461-CD06E1A39C7F}" xr6:coauthVersionLast="47" xr6:coauthVersionMax="47" xr10:uidLastSave="{00000000-0000-0000-0000-000000000000}"/>
  <bookViews>
    <workbookView xWindow="-103" yWindow="-103" windowWidth="24892" windowHeight="15943" tabRatio="500" activeTab="1" xr2:uid="{00000000-000D-0000-FFFF-FFFF00000000}"/>
  </bookViews>
  <sheets>
    <sheet name="📊 Dashboard" sheetId="1" r:id="rId1"/>
    <sheet name="Pipeline" sheetId="2" r:id="rId2"/>
    <sheet name="Deuda Técnica" sheetId="3" r:id="rId3"/>
    <sheet name="Evidencias" sheetId="4" r:id="rId4"/>
    <sheet name="ℹ️ Instrucciones" sheetId="5" r:id="rId5"/>
  </sheet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4" i="1" l="1"/>
  <c r="E24" i="1"/>
  <c r="D24" i="1"/>
  <c r="C24" i="1"/>
  <c r="B24" i="1"/>
  <c r="F23" i="1"/>
  <c r="E23" i="1"/>
  <c r="D23" i="1"/>
  <c r="C23" i="1"/>
  <c r="B23" i="1"/>
  <c r="F22" i="1"/>
  <c r="E22" i="1"/>
  <c r="D22" i="1"/>
  <c r="C22" i="1"/>
  <c r="B22" i="1"/>
  <c r="F21" i="1"/>
  <c r="E21" i="1"/>
  <c r="D21" i="1"/>
  <c r="C21" i="1"/>
  <c r="B21" i="1"/>
  <c r="F20" i="1"/>
  <c r="E20" i="1"/>
  <c r="D20" i="1"/>
  <c r="C20" i="1"/>
  <c r="B20" i="1"/>
  <c r="F19" i="1"/>
  <c r="E19" i="1"/>
  <c r="D19" i="1"/>
  <c r="C19" i="1"/>
  <c r="B19" i="1"/>
  <c r="F18" i="1"/>
  <c r="E18" i="1"/>
  <c r="D18" i="1"/>
  <c r="C18" i="1"/>
  <c r="B18" i="1"/>
  <c r="F17" i="1"/>
  <c r="E17" i="1"/>
  <c r="D17" i="1"/>
  <c r="C17" i="1"/>
  <c r="B17" i="1"/>
  <c r="F16" i="1"/>
  <c r="E16" i="1"/>
  <c r="D16" i="1"/>
  <c r="C16" i="1"/>
  <c r="B16" i="1"/>
  <c r="F15" i="1"/>
  <c r="E15" i="1"/>
  <c r="D15" i="1"/>
  <c r="C15" i="1"/>
  <c r="B15" i="1"/>
  <c r="H9" i="1"/>
  <c r="F9" i="1"/>
  <c r="D9" i="1"/>
  <c r="B9" i="1"/>
  <c r="H6" i="1"/>
  <c r="F6" i="1"/>
  <c r="D6" i="1"/>
  <c r="B12" i="1" s="1"/>
  <c r="B6" i="1"/>
</calcChain>
</file>

<file path=xl/sharedStrings.xml><?xml version="1.0" encoding="utf-8"?>
<sst xmlns="http://schemas.openxmlformats.org/spreadsheetml/2006/main" count="196" uniqueCount="142">
  <si>
    <t>🚀  PIPELINE DE APLICATIVOS  –  DASHBOARD DE SEGUIMIENTO</t>
  </si>
  <si>
    <t>TOTAL APPS</t>
  </si>
  <si>
    <t>COMPLETADAS</t>
  </si>
  <si>
    <t>EN PROGRESO</t>
  </si>
  <si>
    <t>PENDIENTES</t>
  </si>
  <si>
    <t>DEUDA ALTA</t>
  </si>
  <si>
    <t>DEUDA MEDIA</t>
  </si>
  <si>
    <t>DEUDA BAJA</t>
  </si>
  <si>
    <t>SIN DEUDA</t>
  </si>
  <si>
    <t>PROGRESO GENERAL</t>
  </si>
  <si>
    <t>Aplicativo</t>
  </si>
  <si>
    <t>Equipo</t>
  </si>
  <si>
    <t>Estado Pipeline</t>
  </si>
  <si>
    <t>Deuda Técnica</t>
  </si>
  <si>
    <t>Última Actualización</t>
  </si>
  <si>
    <t>📋  REGISTRO DE APLICATIVOS EN PIPELINE</t>
  </si>
  <si>
    <t>Equipo / Responsable</t>
  </si>
  <si>
    <t>% Avance</t>
  </si>
  <si>
    <t>Nivel de Deuda</t>
  </si>
  <si>
    <t>Fecha Inicio</t>
  </si>
  <si>
    <t>Evidencia / Link</t>
  </si>
  <si>
    <t>Notas / Observaciones</t>
  </si>
  <si>
    <t>App CRM</t>
  </si>
  <si>
    <t>Equipo Backend</t>
  </si>
  <si>
    <t>Completado</t>
  </si>
  <si>
    <t>Sí</t>
  </si>
  <si>
    <t>Baja</t>
  </si>
  <si>
    <t>2025-01-10</t>
  </si>
  <si>
    <t>2025-03-01</t>
  </si>
  <si>
    <t>https://jira.empresa.com/CRM-001</t>
  </si>
  <si>
    <t>Refactoring pendiente en módulo de reportes</t>
  </si>
  <si>
    <t>Portal Web</t>
  </si>
  <si>
    <t>Equipo Frontend</t>
  </si>
  <si>
    <t>En Progreso</t>
  </si>
  <si>
    <t>Media</t>
  </si>
  <si>
    <t>2025-02-01</t>
  </si>
  <si>
    <t>2025-03-08</t>
  </si>
  <si>
    <t>https://jira.empresa.com/WEB-045</t>
  </si>
  <si>
    <t>Migración a React 18</t>
  </si>
  <si>
    <t>API Gateway</t>
  </si>
  <si>
    <t>Equipo Infraestructura</t>
  </si>
  <si>
    <t>Alta</t>
  </si>
  <si>
    <t>2025-02-15</t>
  </si>
  <si>
    <t>2025-03-10</t>
  </si>
  <si>
    <t>https://confluence.empresa.com/api-gw</t>
  </si>
  <si>
    <t>Deuda en autenticación legacy</t>
  </si>
  <si>
    <t>App Mobile iOS</t>
  </si>
  <si>
    <t>Equipo Mobile</t>
  </si>
  <si>
    <t>Pendiente</t>
  </si>
  <si>
    <t>No</t>
  </si>
  <si>
    <t>Sin Deuda</t>
  </si>
  <si>
    <t>En espera de aprobación</t>
  </si>
  <si>
    <t>App Mobile Android</t>
  </si>
  <si>
    <t>Módulo Pagos</t>
  </si>
  <si>
    <t>Equipo Fintech</t>
  </si>
  <si>
    <t>2025-01-20</t>
  </si>
  <si>
    <t>2025-02-28</t>
  </si>
  <si>
    <t>https://jira.empresa.com/PAY-100</t>
  </si>
  <si>
    <t>Data Warehouse</t>
  </si>
  <si>
    <t>Equipo Data</t>
  </si>
  <si>
    <t>2025-01-05</t>
  </si>
  <si>
    <t>2025-03-09</t>
  </si>
  <si>
    <t>https://jira.empresa.com/DWH-022</t>
  </si>
  <si>
    <t>ETL pipelines en revisión</t>
  </si>
  <si>
    <t>Microservicio Auth</t>
  </si>
  <si>
    <t>Equipo Seguridad</t>
  </si>
  <si>
    <t>Bloqueado</t>
  </si>
  <si>
    <t>2025-02-10</t>
  </si>
  <si>
    <t>2025-03-05</t>
  </si>
  <si>
    <t>Bloqueado por certificados expirados</t>
  </si>
  <si>
    <t>⚠️  REGISTRO DE DEUDA TÉCNICA</t>
  </si>
  <si>
    <t>Tipo de Deuda</t>
  </si>
  <si>
    <t>Descripción</t>
  </si>
  <si>
    <t>Impacto</t>
  </si>
  <si>
    <t>Responsable Resolución</t>
  </si>
  <si>
    <t>Fecha Detección</t>
  </si>
  <si>
    <t>Fecha Límite</t>
  </si>
  <si>
    <t>Código legacy</t>
  </si>
  <si>
    <t>Módulo de reportes con código de 2015 sin tests</t>
  </si>
  <si>
    <t>Medio</t>
  </si>
  <si>
    <t>Juan Pérez</t>
  </si>
  <si>
    <t>2025-01-15</t>
  </si>
  <si>
    <t>2025-06-30</t>
  </si>
  <si>
    <t>https://sonarqube.empresa.com/crm</t>
  </si>
  <si>
    <t>Dependencias</t>
  </si>
  <si>
    <t>Librerías NPM desactualizadas con CVEs conocidos</t>
  </si>
  <si>
    <t>Alto</t>
  </si>
  <si>
    <t>Ana García</t>
  </si>
  <si>
    <t>2025-04-15</t>
  </si>
  <si>
    <t>https://snyk.empresa.com/web</t>
  </si>
  <si>
    <t>Arquitectura</t>
  </si>
  <si>
    <t>Autenticación implementada de forma monolítica</t>
  </si>
  <si>
    <t>Crítico</t>
  </si>
  <si>
    <t>Carlos López</t>
  </si>
  <si>
    <t>2025-05-01</t>
  </si>
  <si>
    <t>https://confluence.empresa.com/arch</t>
  </si>
  <si>
    <t>Performance</t>
  </si>
  <si>
    <t>Consultas SQL sin índices en tablas &gt; 10M filas</t>
  </si>
  <si>
    <t>María Ruiz</t>
  </si>
  <si>
    <t>2025-07-01</t>
  </si>
  <si>
    <t>https://grafana.empresa.com/dw</t>
  </si>
  <si>
    <t>Seguridad</t>
  </si>
  <si>
    <t>Certificados SSL expirados en entorno QA</t>
  </si>
  <si>
    <t>Pedro Sánchez</t>
  </si>
  <si>
    <t>2025-03-15</t>
  </si>
  <si>
    <t>📎  REGISTRO DE EVIDENCIAS</t>
  </si>
  <si>
    <t>Tipo de Evidencia</t>
  </si>
  <si>
    <t>Fecha Carga</t>
  </si>
  <si>
    <t>Link / URL</t>
  </si>
  <si>
    <t>Responsable</t>
  </si>
  <si>
    <t>Reporte PDF</t>
  </si>
  <si>
    <t>Reporte SonarQube Q1 2025</t>
  </si>
  <si>
    <t>https://sonarqube.empresa.com/crm/report-q1</t>
  </si>
  <si>
    <t>Captura de Pantalla</t>
  </si>
  <si>
    <t>Evidencia vulnerabilidades Snyk</t>
  </si>
  <si>
    <t>https://drive.empresa.com/web-snyk-2025</t>
  </si>
  <si>
    <t>Documento Técnico</t>
  </si>
  <si>
    <t>Arquitectura propuesta API v2</t>
  </si>
  <si>
    <t>https://confluence.empresa.com/api-v2-arch</t>
  </si>
  <si>
    <t>Certificación PCI-DSS completada</t>
  </si>
  <si>
    <t>https://compliance.empresa.com/pci-2025</t>
  </si>
  <si>
    <t>Laura Torres</t>
  </si>
  <si>
    <t>Log de Ejecución</t>
  </si>
  <si>
    <t>Pipeline ETL - ejecución exitosa</t>
  </si>
  <si>
    <t>https://airflow.empresa.com/dag-runs/dw-etl</t>
  </si>
  <si>
    <t>ℹ️  INSTRUCCIONES DE USO</t>
  </si>
  <si>
    <t>📊 Dashboard</t>
  </si>
  <si>
    <t>Vista general con KPIs automáticos. Se actualiza cuando ingresas datos en la hoja Pipeline.</t>
  </si>
  <si>
    <t>📋 Pipeline</t>
  </si>
  <si>
    <t>Registra aquí cada aplicativo. Usa los desplegables para Estado y Nivel de Deuda. El % Avance va de 0 a 1 (ej: 0.75 = 75%).</t>
  </si>
  <si>
    <t>⚠️ Deuda Técnica</t>
  </si>
  <si>
    <t>Detalla aquí la deuda técnica de cada app: tipo, descripción, impacto y fecha límite de resolución.</t>
  </si>
  <si>
    <t>📎 Evidencias</t>
  </si>
  <si>
    <t>Adjunta links, reportes y evidencias por aplicativo. Usa el tipo de evidencia del desplegable.</t>
  </si>
  <si>
    <t>🎨 Colores Estado</t>
  </si>
  <si>
    <t>✅ Verde = Completado  |  🔵 Azul = En Progreso  |  🟡 Amarillo = Pendiente  |  🔴 Rojo = Bloqueado</t>
  </si>
  <si>
    <t>🎨 Colores Deuda</t>
  </si>
  <si>
    <t>🔴 Rojo = Alta  |  🟠 Naranja = Media  |  🟡 Amarillo = Baja  |  🟢 Verde = Sin Deuda</t>
  </si>
  <si>
    <t>➕ Agregar apps</t>
  </si>
  <si>
    <t>Escribe en las filas vacías de la hoja Pipeline. El Dashboard se actualizará automáticamente.</t>
  </si>
  <si>
    <t>🔗 Evidencias</t>
  </si>
  <si>
    <t>En la columna 'Evidencia / Link' de Pipeline puedes pegar URLs directamente. Para detalles usa la hoja Evidencias.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</si>
</sst>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b/>
      <sz val="9"/>
      <color rgb="FFFFFFFF"/>
      <name val="Arial"/>
      <charset val="1"/>
    </font>
    <font>
      <b/>
      <sz val="22"/>
      <color rgb="FF1F3864"/>
      <name val="Arial"/>
      <charset val="1"/>
    </font>
    <font>
      <b/>
      <sz val="20"/>
      <color rgb="FF1F3864"/>
      <name val="Arial"/>
      <charset val="1"/>
    </font>
    <font>
      <b/>
      <sz val="10"/>
      <color rgb="FFFFFFFF"/>
      <name val="Arial"/>
      <charset val="1"/>
    </font>
    <font>
      <b/>
      <sz val="18"/>
      <color rgb="FF1F3864"/>
      <name val="Arial"/>
      <charset val="1"/>
    </font>
    <font>
      <sz val="9"/>
      <color rgb="FF000000"/>
      <name val="Arial"/>
      <charset val="1"/>
    </font>
    <font>
      <b/>
      <sz val="16"/>
      <color rgb="FFFFFFFF"/>
      <name val="Arial"/>
      <charset val="1"/>
    </font>
    <font>
      <sz val="10"/>
      <color rgb="FF000000"/>
      <name val="Arial"/>
      <charset val="1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C0C0C0"/>
      </patternFill>
    </fill>
    <fill>
      <patternFill patternType="solid">
        <fgColor rgb="FFC00000"/>
        <bgColor rgb="FFFF0000"/>
      </patternFill>
    </fill>
    <fill>
      <patternFill patternType="solid">
        <fgColor rgb="FFED7D31"/>
        <bgColor rgb="FFFF8080"/>
      </patternFill>
    </fill>
    <fill>
      <patternFill patternType="solid">
        <fgColor rgb="FFFFC000"/>
        <bgColor rgb="FFFF9900"/>
      </patternFill>
    </fill>
    <fill>
      <patternFill patternType="solid">
        <fgColor rgb="FF70AD47"/>
        <bgColor rgb="FF339966"/>
      </patternFill>
    </fill>
    <fill>
      <patternFill patternType="solid">
        <fgColor rgb="FFF2F2F2"/>
        <bgColor rgb="FFEBF3FB"/>
      </patternFill>
    </fill>
    <fill>
      <patternFill patternType="solid">
        <fgColor rgb="FFFFFFFF"/>
        <bgColor rgb="FFF2F2F2"/>
      </patternFill>
    </fill>
    <fill>
      <patternFill patternType="solid">
        <fgColor rgb="FFEBF3FB"/>
        <bgColor rgb="FFF2F2F2"/>
      </patternFill>
    </fill>
    <fill>
      <patternFill patternType="solid">
        <fgColor rgb="FF5B9BD5"/>
        <bgColor rgb="FF2E75B6"/>
      </patternFill>
    </fill>
    <fill>
      <patternFill patternType="solid">
        <fgColor rgb="FF808080"/>
        <bgColor rgb="FF666699"/>
      </patternFill>
    </fill>
  </fills>
  <borders count="2">
    <border>
      <left/>
      <right/>
      <top/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8" fillId="13" borderId="0" xfId="0" applyFont="1" applyFill="1" applyAlignment="1">
      <alignment horizontal="center" vertical="center"/>
    </xf>
    <xf numFmtId="0" fontId="8" fillId="12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164" fontId="6" fillId="4" borderId="0" xfId="0" applyNumberFormat="1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9" fontId="9" fillId="10" borderId="1" xfId="0" applyNumberFormat="1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left" vertical="center"/>
    </xf>
    <xf numFmtId="0" fontId="9" fillId="11" borderId="1" xfId="0" applyFont="1" applyFill="1" applyBorder="1" applyAlignment="1">
      <alignment horizontal="center" vertical="center" wrapText="1"/>
    </xf>
    <xf numFmtId="9" fontId="9" fillId="11" borderId="1" xfId="0" applyNumberFormat="1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left" vertical="center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0" fillId="10" borderId="1" xfId="0" applyFill="1" applyBorder="1"/>
    <xf numFmtId="0" fontId="0" fillId="11" borderId="1" xfId="0" applyFill="1" applyBorder="1"/>
    <xf numFmtId="0" fontId="5" fillId="1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13">
    <dxf>
      <font>
        <b/>
        <color rgb="FFFFFFFF"/>
        <name val="Arial"/>
        <charset val="1"/>
      </font>
      <fill>
        <patternFill>
          <bgColor rgb="FF70AD47"/>
        </patternFill>
      </fill>
    </dxf>
    <dxf>
      <font>
        <b/>
        <color rgb="FF333333"/>
        <name val="Arial"/>
        <charset val="1"/>
      </font>
      <fill>
        <patternFill>
          <bgColor rgb="FFFFC000"/>
        </patternFill>
      </fill>
    </dxf>
    <dxf>
      <font>
        <b/>
        <color rgb="FFFFFFFF"/>
        <name val="Arial"/>
        <charset val="1"/>
      </font>
      <fill>
        <patternFill>
          <bgColor rgb="FFED7D31"/>
        </patternFill>
      </fill>
    </dxf>
    <dxf>
      <font>
        <b/>
        <color rgb="FFFFFFFF"/>
        <name val="Arial"/>
        <charset val="1"/>
      </font>
      <fill>
        <patternFill>
          <bgColor rgb="FFC00000"/>
        </patternFill>
      </fill>
    </dxf>
    <dxf>
      <font>
        <b/>
        <color rgb="FFFFFFFF"/>
        <name val="Arial"/>
        <charset val="1"/>
      </font>
      <fill>
        <patternFill>
          <bgColor rgb="FF70AD47"/>
        </patternFill>
      </fill>
    </dxf>
    <dxf>
      <font>
        <b/>
        <color rgb="FF333333"/>
        <name val="Arial"/>
        <charset val="1"/>
      </font>
      <fill>
        <patternFill>
          <bgColor rgb="FFFFC000"/>
        </patternFill>
      </fill>
    </dxf>
    <dxf>
      <font>
        <b/>
        <color rgb="FFFFFFFF"/>
        <name val="Arial"/>
        <charset val="1"/>
      </font>
      <fill>
        <patternFill>
          <bgColor rgb="FFED7D31"/>
        </patternFill>
      </fill>
    </dxf>
    <dxf>
      <font>
        <b/>
        <color rgb="FFFFFFFF"/>
        <name val="Arial"/>
        <charset val="1"/>
      </font>
      <fill>
        <patternFill>
          <bgColor rgb="FFC00000"/>
        </patternFill>
      </fill>
    </dxf>
    <dxf>
      <font>
        <b/>
        <color rgb="FFFFFFFF"/>
        <name val="Arial"/>
        <charset val="1"/>
      </font>
      <fill>
        <patternFill>
          <bgColor rgb="FF808080"/>
        </patternFill>
      </fill>
    </dxf>
    <dxf>
      <font>
        <b/>
        <color rgb="FFFFFFFF"/>
        <name val="Arial"/>
        <charset val="1"/>
      </font>
      <fill>
        <patternFill>
          <bgColor rgb="FFFF0000"/>
        </patternFill>
      </fill>
    </dxf>
    <dxf>
      <font>
        <b/>
        <color rgb="FF333333"/>
        <name val="Arial"/>
        <charset val="1"/>
      </font>
      <fill>
        <patternFill>
          <bgColor rgb="FFFFD966"/>
        </patternFill>
      </fill>
    </dxf>
    <dxf>
      <font>
        <b/>
        <color rgb="FFFFFFFF"/>
        <name val="Arial"/>
        <charset val="1"/>
      </font>
      <fill>
        <patternFill>
          <bgColor rgb="FF5B9BD5"/>
        </patternFill>
      </fill>
    </dxf>
    <dxf>
      <font>
        <b/>
        <color rgb="FFFFFFFF"/>
        <name val="Arial"/>
        <charset val="1"/>
      </font>
      <fill>
        <patternFill>
          <bgColor rgb="FF70AD47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993366"/>
      <rgbColor rgb="FFF2F2F2"/>
      <rgbColor rgb="FFEBF3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FD966"/>
      <rgbColor rgb="FF2E75B6"/>
      <rgbColor rgb="FF33CCCC"/>
      <rgbColor rgb="FF99CC00"/>
      <rgbColor rgb="FFFFC000"/>
      <rgbColor rgb="FFFF9900"/>
      <rgbColor rgb="FFED7D31"/>
      <rgbColor rgb="FF666699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E75B6"/>
  </sheetPr>
  <dimension ref="B1:I24"/>
  <sheetViews>
    <sheetView showGridLines="0" zoomScaleNormal="100" workbookViewId="0"/>
  </sheetViews>
  <sheetFormatPr baseColWidth="10" defaultColWidth="8.69140625" defaultRowHeight="14.6" x14ac:dyDescent="0.4"/>
  <cols>
    <col min="1" max="1" width="3" customWidth="1"/>
    <col min="2" max="2" width="22" customWidth="1"/>
    <col min="3" max="4" width="16" customWidth="1"/>
    <col min="5" max="5" width="14" customWidth="1"/>
    <col min="6" max="6" width="20" customWidth="1"/>
    <col min="7" max="8" width="16" customWidth="1"/>
    <col min="9" max="9" width="28" customWidth="1"/>
    <col min="10" max="10" width="3" customWidth="1"/>
  </cols>
  <sheetData>
    <row r="1" spans="2:9" ht="9.75" customHeight="1" x14ac:dyDescent="0.4"/>
    <row r="2" spans="2:9" ht="48" customHeight="1" x14ac:dyDescent="0.4">
      <c r="B2" s="14" t="s">
        <v>0</v>
      </c>
      <c r="C2" s="14"/>
      <c r="D2" s="14"/>
      <c r="E2" s="14"/>
      <c r="F2" s="14"/>
      <c r="G2" s="14"/>
      <c r="H2" s="14"/>
      <c r="I2" s="14"/>
    </row>
    <row r="3" spans="2:9" ht="9.75" customHeight="1" x14ac:dyDescent="0.4"/>
    <row r="4" spans="2:9" ht="7.5" customHeight="1" x14ac:dyDescent="0.4"/>
    <row r="5" spans="2:9" ht="30" customHeight="1" x14ac:dyDescent="0.4">
      <c r="B5" s="13" t="s">
        <v>1</v>
      </c>
      <c r="C5" s="13"/>
      <c r="D5" s="13" t="s">
        <v>2</v>
      </c>
      <c r="E5" s="13"/>
      <c r="F5" s="13" t="s">
        <v>3</v>
      </c>
      <c r="G5" s="13"/>
      <c r="H5" s="13" t="s">
        <v>4</v>
      </c>
      <c r="I5" s="13"/>
    </row>
    <row r="6" spans="2:9" ht="43.5" customHeight="1" x14ac:dyDescent="0.4">
      <c r="B6" s="12">
        <f>COUNTA(Pipeline!B$4:B$53)</f>
        <v>8</v>
      </c>
      <c r="C6" s="12"/>
      <c r="D6" s="12">
        <f>COUNTIF(Pipeline!D$4:D$53,"Completado")</f>
        <v>2</v>
      </c>
      <c r="E6" s="12"/>
      <c r="F6" s="12">
        <f>COUNTIF(Pipeline!D$4:D$53,"En Progreso")</f>
        <v>3</v>
      </c>
      <c r="G6" s="12"/>
      <c r="H6" s="12">
        <f>COUNTIF(Pipeline!D$4:D$53,"Pendiente")</f>
        <v>2</v>
      </c>
      <c r="I6" s="12"/>
    </row>
    <row r="7" spans="2:9" ht="7.5" customHeight="1" x14ac:dyDescent="0.4"/>
    <row r="8" spans="2:9" ht="30" customHeight="1" x14ac:dyDescent="0.4">
      <c r="B8" s="11" t="s">
        <v>5</v>
      </c>
      <c r="C8" s="11"/>
      <c r="D8" s="10" t="s">
        <v>6</v>
      </c>
      <c r="E8" s="10"/>
      <c r="F8" s="9" t="s">
        <v>7</v>
      </c>
      <c r="G8" s="9"/>
      <c r="H8" s="8" t="s">
        <v>8</v>
      </c>
      <c r="I8" s="8"/>
    </row>
    <row r="9" spans="2:9" ht="39.75" customHeight="1" x14ac:dyDescent="0.4">
      <c r="B9" s="7">
        <f>COUNTIF(Pipeline!F$4:F$53,"Alta")</f>
        <v>0</v>
      </c>
      <c r="C9" s="7"/>
      <c r="D9" s="7">
        <f>COUNTIF(Pipeline!F$4:F$53,"Media")</f>
        <v>0</v>
      </c>
      <c r="E9" s="7"/>
      <c r="F9" s="7">
        <f>COUNTIF(Pipeline!F$4:F$53,"Baja")</f>
        <v>0</v>
      </c>
      <c r="G9" s="7"/>
      <c r="H9" s="7">
        <f>COUNTIF(Pipeline!F$4:F$53,"Sin Deuda")</f>
        <v>0</v>
      </c>
      <c r="I9" s="7"/>
    </row>
    <row r="10" spans="2:9" ht="9.75" customHeight="1" x14ac:dyDescent="0.4"/>
    <row r="11" spans="2:9" ht="25.5" customHeight="1" x14ac:dyDescent="0.4">
      <c r="B11" s="6" t="s">
        <v>9</v>
      </c>
      <c r="C11" s="6"/>
      <c r="D11" s="6"/>
      <c r="E11" s="6"/>
      <c r="F11" s="6"/>
      <c r="G11" s="6"/>
      <c r="H11" s="6"/>
      <c r="I11" s="6"/>
    </row>
    <row r="12" spans="2:9" ht="36" customHeight="1" x14ac:dyDescent="0.4">
      <c r="B12" s="5">
        <f>IFERROR(D6/B6,0)</f>
        <v>0.25</v>
      </c>
      <c r="C12" s="5"/>
      <c r="D12" s="5"/>
      <c r="E12" s="5"/>
      <c r="F12" s="5"/>
      <c r="G12" s="5"/>
      <c r="H12" s="5"/>
      <c r="I12" s="5"/>
    </row>
    <row r="13" spans="2:9" ht="9.75" customHeight="1" x14ac:dyDescent="0.4"/>
    <row r="14" spans="2:9" ht="24" customHeight="1" x14ac:dyDescent="0.4">
      <c r="B14" s="15" t="s">
        <v>10</v>
      </c>
      <c r="C14" s="15" t="s">
        <v>11</v>
      </c>
      <c r="D14" s="15" t="s">
        <v>12</v>
      </c>
      <c r="E14" s="15" t="s">
        <v>13</v>
      </c>
      <c r="F14" s="15" t="s">
        <v>14</v>
      </c>
    </row>
    <row r="15" spans="2:9" ht="18" customHeight="1" x14ac:dyDescent="0.4">
      <c r="B15" s="16" t="str">
        <f>IFERROR(INDEX(Pipeline!B$4:B$53,1),"")</f>
        <v>App CRM</v>
      </c>
      <c r="C15" s="16" t="str">
        <f>IFERROR(INDEX(Pipeline!C$4:C$53,1),"")</f>
        <v>Equipo Backend</v>
      </c>
      <c r="D15" s="16" t="str">
        <f>IFERROR(INDEX(Pipeline!D$4:D$53,1),"")</f>
        <v>Completado</v>
      </c>
      <c r="E15" s="16" t="str">
        <f>IFERROR(INDEX(Pipeline!F$4:F$53,1),"")</f>
        <v>Sí</v>
      </c>
      <c r="F15" s="16" t="str">
        <f>IFERROR(INDEX(Pipeline!H$4:H$53,1),"")</f>
        <v>2025-01-10</v>
      </c>
    </row>
    <row r="16" spans="2:9" ht="18" customHeight="1" x14ac:dyDescent="0.4">
      <c r="B16" s="17" t="str">
        <f>IFERROR(INDEX(Pipeline!B$4:B$53,2),"")</f>
        <v>Portal Web</v>
      </c>
      <c r="C16" s="17" t="str">
        <f>IFERROR(INDEX(Pipeline!C$4:C$53,2),"")</f>
        <v>Equipo Frontend</v>
      </c>
      <c r="D16" s="17" t="str">
        <f>IFERROR(INDEX(Pipeline!D$4:D$53,2),"")</f>
        <v>En Progreso</v>
      </c>
      <c r="E16" s="17" t="str">
        <f>IFERROR(INDEX(Pipeline!F$4:F$53,2),"")</f>
        <v>Sí</v>
      </c>
      <c r="F16" s="17" t="str">
        <f>IFERROR(INDEX(Pipeline!H$4:H$53,2),"")</f>
        <v>2025-02-01</v>
      </c>
    </row>
    <row r="17" spans="2:6" ht="18" customHeight="1" x14ac:dyDescent="0.4">
      <c r="B17" s="16" t="str">
        <f>IFERROR(INDEX(Pipeline!B$4:B$53,3),"")</f>
        <v>API Gateway</v>
      </c>
      <c r="C17" s="16" t="str">
        <f>IFERROR(INDEX(Pipeline!C$4:C$53,3),"")</f>
        <v>Equipo Infraestructura</v>
      </c>
      <c r="D17" s="16" t="str">
        <f>IFERROR(INDEX(Pipeline!D$4:D$53,3),"")</f>
        <v>En Progreso</v>
      </c>
      <c r="E17" s="16" t="str">
        <f>IFERROR(INDEX(Pipeline!F$4:F$53,3),"")</f>
        <v>Sí</v>
      </c>
      <c r="F17" s="16" t="str">
        <f>IFERROR(INDEX(Pipeline!H$4:H$53,3),"")</f>
        <v>2025-02-15</v>
      </c>
    </row>
    <row r="18" spans="2:6" ht="18" customHeight="1" x14ac:dyDescent="0.4">
      <c r="B18" s="17" t="str">
        <f>IFERROR(INDEX(Pipeline!B$4:B$53,4),"")</f>
        <v>App Mobile iOS</v>
      </c>
      <c r="C18" s="17" t="str">
        <f>IFERROR(INDEX(Pipeline!C$4:C$53,4),"")</f>
        <v>Equipo Mobile</v>
      </c>
      <c r="D18" s="17" t="str">
        <f>IFERROR(INDEX(Pipeline!D$4:D$53,4),"")</f>
        <v>Pendiente</v>
      </c>
      <c r="E18" s="17" t="str">
        <f>IFERROR(INDEX(Pipeline!F$4:F$53,4),"")</f>
        <v>No</v>
      </c>
      <c r="F18" s="17" t="str">
        <f>IFERROR(INDEX(Pipeline!H$4:H$53,4),"")</f>
        <v>2025-03-01</v>
      </c>
    </row>
    <row r="19" spans="2:6" ht="18" customHeight="1" x14ac:dyDescent="0.4">
      <c r="B19" s="16" t="str">
        <f>IFERROR(INDEX(Pipeline!B$4:B$53,5),"")</f>
        <v>App Mobile Android</v>
      </c>
      <c r="C19" s="16" t="str">
        <f>IFERROR(INDEX(Pipeline!C$4:C$53,5),"")</f>
        <v>Equipo Mobile</v>
      </c>
      <c r="D19" s="16" t="str">
        <f>IFERROR(INDEX(Pipeline!D$4:D$53,5),"")</f>
        <v>Pendiente</v>
      </c>
      <c r="E19" s="16" t="str">
        <f>IFERROR(INDEX(Pipeline!F$4:F$53,5),"")</f>
        <v>No</v>
      </c>
      <c r="F19" s="16" t="str">
        <f>IFERROR(INDEX(Pipeline!H$4:H$53,5),"")</f>
        <v>2025-03-01</v>
      </c>
    </row>
    <row r="20" spans="2:6" ht="18" customHeight="1" x14ac:dyDescent="0.4">
      <c r="B20" s="17" t="str">
        <f>IFERROR(INDEX(Pipeline!B$4:B$53,6),"")</f>
        <v>Módulo Pagos</v>
      </c>
      <c r="C20" s="17" t="str">
        <f>IFERROR(INDEX(Pipeline!C$4:C$53,6),"")</f>
        <v>Equipo Fintech</v>
      </c>
      <c r="D20" s="17" t="str">
        <f>IFERROR(INDEX(Pipeline!D$4:D$53,6),"")</f>
        <v>Completado</v>
      </c>
      <c r="E20" s="17" t="str">
        <f>IFERROR(INDEX(Pipeline!F$4:F$53,6),"")</f>
        <v>No</v>
      </c>
      <c r="F20" s="17" t="str">
        <f>IFERROR(INDEX(Pipeline!H$4:H$53,6),"")</f>
        <v>2025-01-20</v>
      </c>
    </row>
    <row r="21" spans="2:6" ht="18" customHeight="1" x14ac:dyDescent="0.4">
      <c r="B21" s="16" t="str">
        <f>IFERROR(INDEX(Pipeline!B$4:B$53,7),"")</f>
        <v>Data Warehouse</v>
      </c>
      <c r="C21" s="16" t="str">
        <f>IFERROR(INDEX(Pipeline!C$4:C$53,7),"")</f>
        <v>Equipo Data</v>
      </c>
      <c r="D21" s="16" t="str">
        <f>IFERROR(INDEX(Pipeline!D$4:D$53,7),"")</f>
        <v>En Progreso</v>
      </c>
      <c r="E21" s="16" t="str">
        <f>IFERROR(INDEX(Pipeline!F$4:F$53,7),"")</f>
        <v>Sí</v>
      </c>
      <c r="F21" s="16" t="str">
        <f>IFERROR(INDEX(Pipeline!H$4:H$53,7),"")</f>
        <v>2025-01-05</v>
      </c>
    </row>
    <row r="22" spans="2:6" ht="18" customHeight="1" x14ac:dyDescent="0.4">
      <c r="B22" s="17" t="str">
        <f>IFERROR(INDEX(Pipeline!B$4:B$53,8),"")</f>
        <v>Microservicio Auth</v>
      </c>
      <c r="C22" s="17" t="str">
        <f>IFERROR(INDEX(Pipeline!C$4:C$53,8),"")</f>
        <v>Equipo Seguridad</v>
      </c>
      <c r="D22" s="17" t="str">
        <f>IFERROR(INDEX(Pipeline!D$4:D$53,8),"")</f>
        <v>Bloqueado</v>
      </c>
      <c r="E22" s="17" t="str">
        <f>IFERROR(INDEX(Pipeline!F$4:F$53,8),"")</f>
        <v>Sí</v>
      </c>
      <c r="F22" s="17" t="str">
        <f>IFERROR(INDEX(Pipeline!H$4:H$53,8),"")</f>
        <v>2025-02-10</v>
      </c>
    </row>
    <row r="23" spans="2:6" ht="18" customHeight="1" x14ac:dyDescent="0.4">
      <c r="B23" s="16">
        <f>IFERROR(INDEX(Pipeline!B$4:B$53,9),"")</f>
        <v>0</v>
      </c>
      <c r="C23" s="16">
        <f>IFERROR(INDEX(Pipeline!C$4:C$53,9),"")</f>
        <v>0</v>
      </c>
      <c r="D23" s="16">
        <f>IFERROR(INDEX(Pipeline!D$4:D$53,9),"")</f>
        <v>0</v>
      </c>
      <c r="E23" s="16">
        <f>IFERROR(INDEX(Pipeline!F$4:F$53,9),"")</f>
        <v>0</v>
      </c>
      <c r="F23" s="16">
        <f>IFERROR(INDEX(Pipeline!H$4:H$53,9),"")</f>
        <v>0</v>
      </c>
    </row>
    <row r="24" spans="2:6" ht="18" customHeight="1" x14ac:dyDescent="0.4">
      <c r="B24" s="17">
        <f>IFERROR(INDEX(Pipeline!B$4:B$53,10),"")</f>
        <v>0</v>
      </c>
      <c r="C24" s="17">
        <f>IFERROR(INDEX(Pipeline!C$4:C$53,10),"")</f>
        <v>0</v>
      </c>
      <c r="D24" s="17">
        <f>IFERROR(INDEX(Pipeline!D$4:D$53,10),"")</f>
        <v>0</v>
      </c>
      <c r="E24" s="17">
        <f>IFERROR(INDEX(Pipeline!F$4:F$53,10),"")</f>
        <v>0</v>
      </c>
      <c r="F24" s="17">
        <f>IFERROR(INDEX(Pipeline!H$4:H$53,10),"")</f>
        <v>0</v>
      </c>
    </row>
  </sheetData>
  <mergeCells count="19">
    <mergeCell ref="B12:I12"/>
    <mergeCell ref="B9:C9"/>
    <mergeCell ref="D9:E9"/>
    <mergeCell ref="F9:G9"/>
    <mergeCell ref="H9:I9"/>
    <mergeCell ref="B11:I11"/>
    <mergeCell ref="B6:C6"/>
    <mergeCell ref="D6:E6"/>
    <mergeCell ref="F6:G6"/>
    <mergeCell ref="H6:I6"/>
    <mergeCell ref="B8:C8"/>
    <mergeCell ref="D8:E8"/>
    <mergeCell ref="F8:G8"/>
    <mergeCell ref="H8:I8"/>
    <mergeCell ref="B2:I2"/>
    <mergeCell ref="B5:C5"/>
    <mergeCell ref="D5:E5"/>
    <mergeCell ref="F5:G5"/>
    <mergeCell ref="H5:I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B1:K53"/>
  <sheetViews>
    <sheetView showGridLines="0" tabSelected="1" zoomScaleNormal="100" workbookViewId="0"/>
  </sheetViews>
  <sheetFormatPr baseColWidth="10" defaultColWidth="8.69140625" defaultRowHeight="14.6" x14ac:dyDescent="0.4"/>
  <cols>
    <col min="1" max="1" width="3" customWidth="1"/>
    <col min="2" max="2" width="28" customWidth="1"/>
    <col min="3" max="3" width="20" customWidth="1"/>
    <col min="4" max="4" width="18" customWidth="1"/>
    <col min="5" max="5" width="14" customWidth="1"/>
    <col min="6" max="6" width="16" customWidth="1"/>
    <col min="7" max="7" width="18" customWidth="1"/>
    <col min="8" max="8" width="20" customWidth="1"/>
    <col min="9" max="9" width="22" customWidth="1"/>
    <col min="10" max="11" width="35" customWidth="1"/>
    <col min="12" max="12" width="3" customWidth="1"/>
  </cols>
  <sheetData>
    <row r="1" spans="2:11" ht="9.75" customHeight="1" x14ac:dyDescent="0.4"/>
    <row r="2" spans="2:11" ht="42" customHeight="1" x14ac:dyDescent="0.4">
      <c r="B2" s="4" t="s">
        <v>15</v>
      </c>
      <c r="C2" s="4"/>
      <c r="D2" s="4"/>
      <c r="E2" s="4"/>
      <c r="F2" s="4"/>
      <c r="G2" s="4"/>
      <c r="H2" s="4"/>
      <c r="I2" s="4"/>
      <c r="J2" s="4"/>
      <c r="K2" s="4"/>
    </row>
    <row r="3" spans="2:11" ht="36" customHeight="1" x14ac:dyDescent="0.4">
      <c r="B3" s="18" t="s">
        <v>10</v>
      </c>
      <c r="C3" s="18" t="s">
        <v>16</v>
      </c>
      <c r="D3" s="18" t="s">
        <v>12</v>
      </c>
      <c r="E3" s="18" t="s">
        <v>17</v>
      </c>
      <c r="F3" s="18" t="s">
        <v>13</v>
      </c>
      <c r="G3" s="18" t="s">
        <v>18</v>
      </c>
      <c r="H3" s="18" t="s">
        <v>19</v>
      </c>
      <c r="I3" s="18" t="s">
        <v>14</v>
      </c>
      <c r="J3" s="18" t="s">
        <v>20</v>
      </c>
      <c r="K3" s="18" t="s">
        <v>21</v>
      </c>
    </row>
    <row r="4" spans="2:11" ht="21.75" customHeight="1" x14ac:dyDescent="0.4">
      <c r="B4" s="19" t="s">
        <v>22</v>
      </c>
      <c r="C4" s="19" t="s">
        <v>23</v>
      </c>
      <c r="D4" s="19" t="s">
        <v>24</v>
      </c>
      <c r="E4" s="20">
        <v>1</v>
      </c>
      <c r="F4" s="19" t="s">
        <v>25</v>
      </c>
      <c r="G4" s="19" t="s">
        <v>26</v>
      </c>
      <c r="H4" s="19" t="s">
        <v>27</v>
      </c>
      <c r="I4" s="19" t="s">
        <v>28</v>
      </c>
      <c r="J4" s="21" t="s">
        <v>29</v>
      </c>
      <c r="K4" s="19" t="s">
        <v>30</v>
      </c>
    </row>
    <row r="5" spans="2:11" ht="21.75" customHeight="1" x14ac:dyDescent="0.4">
      <c r="B5" s="22" t="s">
        <v>31</v>
      </c>
      <c r="C5" s="22" t="s">
        <v>32</v>
      </c>
      <c r="D5" s="22" t="s">
        <v>33</v>
      </c>
      <c r="E5" s="23">
        <v>0.65</v>
      </c>
      <c r="F5" s="22" t="s">
        <v>25</v>
      </c>
      <c r="G5" s="22" t="s">
        <v>34</v>
      </c>
      <c r="H5" s="22" t="s">
        <v>35</v>
      </c>
      <c r="I5" s="22" t="s">
        <v>36</v>
      </c>
      <c r="J5" s="24" t="s">
        <v>37</v>
      </c>
      <c r="K5" s="22" t="s">
        <v>38</v>
      </c>
    </row>
    <row r="6" spans="2:11" ht="21.75" customHeight="1" x14ac:dyDescent="0.4">
      <c r="B6" s="19" t="s">
        <v>39</v>
      </c>
      <c r="C6" s="19" t="s">
        <v>40</v>
      </c>
      <c r="D6" s="19" t="s">
        <v>33</v>
      </c>
      <c r="E6" s="20">
        <v>0.4</v>
      </c>
      <c r="F6" s="19" t="s">
        <v>25</v>
      </c>
      <c r="G6" s="19" t="s">
        <v>41</v>
      </c>
      <c r="H6" s="19" t="s">
        <v>42</v>
      </c>
      <c r="I6" s="19" t="s">
        <v>43</v>
      </c>
      <c r="J6" s="21" t="s">
        <v>44</v>
      </c>
      <c r="K6" s="19" t="s">
        <v>45</v>
      </c>
    </row>
    <row r="7" spans="2:11" ht="21.75" customHeight="1" x14ac:dyDescent="0.4">
      <c r="B7" s="22" t="s">
        <v>46</v>
      </c>
      <c r="C7" s="22" t="s">
        <v>47</v>
      </c>
      <c r="D7" s="22" t="s">
        <v>48</v>
      </c>
      <c r="E7" s="23">
        <v>0</v>
      </c>
      <c r="F7" s="22" t="s">
        <v>49</v>
      </c>
      <c r="G7" s="22" t="s">
        <v>50</v>
      </c>
      <c r="H7" s="22" t="s">
        <v>28</v>
      </c>
      <c r="I7" s="22" t="s">
        <v>28</v>
      </c>
      <c r="J7" s="24"/>
      <c r="K7" s="22" t="s">
        <v>51</v>
      </c>
    </row>
    <row r="8" spans="2:11" ht="21.75" customHeight="1" x14ac:dyDescent="0.4">
      <c r="B8" s="19" t="s">
        <v>52</v>
      </c>
      <c r="C8" s="19" t="s">
        <v>47</v>
      </c>
      <c r="D8" s="19" t="s">
        <v>48</v>
      </c>
      <c r="E8" s="20">
        <v>0</v>
      </c>
      <c r="F8" s="19" t="s">
        <v>49</v>
      </c>
      <c r="G8" s="19" t="s">
        <v>50</v>
      </c>
      <c r="H8" s="19" t="s">
        <v>28</v>
      </c>
      <c r="I8" s="19" t="s">
        <v>28</v>
      </c>
      <c r="J8" s="21"/>
      <c r="K8" s="19" t="s">
        <v>51</v>
      </c>
    </row>
    <row r="9" spans="2:11" ht="21.75" customHeight="1" x14ac:dyDescent="0.4">
      <c r="B9" s="22" t="s">
        <v>53</v>
      </c>
      <c r="C9" s="22" t="s">
        <v>54</v>
      </c>
      <c r="D9" s="22" t="s">
        <v>24</v>
      </c>
      <c r="E9" s="23">
        <v>1</v>
      </c>
      <c r="F9" s="22" t="s">
        <v>49</v>
      </c>
      <c r="G9" s="22" t="s">
        <v>50</v>
      </c>
      <c r="H9" s="22" t="s">
        <v>55</v>
      </c>
      <c r="I9" s="22" t="s">
        <v>56</v>
      </c>
      <c r="J9" s="24" t="s">
        <v>57</v>
      </c>
      <c r="K9" s="22"/>
    </row>
    <row r="10" spans="2:11" ht="21.75" customHeight="1" x14ac:dyDescent="0.4">
      <c r="B10" s="19" t="s">
        <v>58</v>
      </c>
      <c r="C10" s="19" t="s">
        <v>59</v>
      </c>
      <c r="D10" s="19" t="s">
        <v>33</v>
      </c>
      <c r="E10" s="20">
        <v>0.8</v>
      </c>
      <c r="F10" s="19" t="s">
        <v>25</v>
      </c>
      <c r="G10" s="19" t="s">
        <v>34</v>
      </c>
      <c r="H10" s="19" t="s">
        <v>60</v>
      </c>
      <c r="I10" s="19" t="s">
        <v>61</v>
      </c>
      <c r="J10" s="21" t="s">
        <v>62</v>
      </c>
      <c r="K10" s="19" t="s">
        <v>63</v>
      </c>
    </row>
    <row r="11" spans="2:11" ht="21.75" customHeight="1" x14ac:dyDescent="0.4">
      <c r="B11" s="22" t="s">
        <v>64</v>
      </c>
      <c r="C11" s="22" t="s">
        <v>65</v>
      </c>
      <c r="D11" s="22" t="s">
        <v>66</v>
      </c>
      <c r="E11" s="23">
        <v>0.3</v>
      </c>
      <c r="F11" s="22" t="s">
        <v>25</v>
      </c>
      <c r="G11" s="22" t="s">
        <v>41</v>
      </c>
      <c r="H11" s="22" t="s">
        <v>67</v>
      </c>
      <c r="I11" s="22" t="s">
        <v>68</v>
      </c>
      <c r="J11" s="24"/>
      <c r="K11" s="22" t="s">
        <v>69</v>
      </c>
    </row>
    <row r="12" spans="2:11" ht="21.75" customHeight="1" x14ac:dyDescent="0.4">
      <c r="B12" s="25"/>
      <c r="C12" s="25"/>
      <c r="D12" s="25"/>
      <c r="E12" s="25"/>
      <c r="F12" s="25"/>
      <c r="G12" s="25"/>
      <c r="H12" s="25"/>
      <c r="I12" s="25"/>
      <c r="J12" s="25"/>
      <c r="K12" s="25"/>
    </row>
    <row r="13" spans="2:11" ht="21.75" customHeight="1" x14ac:dyDescent="0.4">
      <c r="B13" s="26"/>
      <c r="C13" s="26"/>
      <c r="D13" s="26"/>
      <c r="E13" s="26"/>
      <c r="F13" s="26"/>
      <c r="G13" s="26"/>
      <c r="H13" s="26"/>
      <c r="I13" s="26"/>
      <c r="J13" s="26"/>
      <c r="K13" s="26"/>
    </row>
    <row r="14" spans="2:11" ht="21.75" customHeight="1" x14ac:dyDescent="0.4">
      <c r="B14" s="25"/>
      <c r="C14" s="25"/>
      <c r="D14" s="25"/>
      <c r="E14" s="25"/>
      <c r="F14" s="25"/>
      <c r="G14" s="25"/>
      <c r="H14" s="25"/>
      <c r="I14" s="25"/>
      <c r="J14" s="25"/>
      <c r="K14" s="25"/>
    </row>
    <row r="15" spans="2:11" ht="21.75" customHeight="1" x14ac:dyDescent="0.4">
      <c r="B15" s="26"/>
      <c r="C15" s="26"/>
      <c r="D15" s="26"/>
      <c r="E15" s="26"/>
      <c r="F15" s="26"/>
      <c r="G15" s="26"/>
      <c r="H15" s="26"/>
      <c r="I15" s="26"/>
      <c r="J15" s="26"/>
      <c r="K15" s="26"/>
    </row>
    <row r="16" spans="2:11" ht="21.75" customHeight="1" x14ac:dyDescent="0.4">
      <c r="B16" s="25"/>
      <c r="C16" s="25"/>
      <c r="D16" s="25"/>
      <c r="E16" s="25"/>
      <c r="F16" s="25"/>
      <c r="G16" s="25"/>
      <c r="H16" s="25"/>
      <c r="I16" s="25"/>
      <c r="J16" s="25"/>
      <c r="K16" s="25"/>
    </row>
    <row r="17" spans="2:11" ht="21.75" customHeight="1" x14ac:dyDescent="0.4">
      <c r="B17" s="26"/>
      <c r="C17" s="26"/>
      <c r="D17" s="26"/>
      <c r="E17" s="26"/>
      <c r="F17" s="26"/>
      <c r="G17" s="26"/>
      <c r="H17" s="26"/>
      <c r="I17" s="26"/>
      <c r="J17" s="26"/>
      <c r="K17" s="26"/>
    </row>
    <row r="18" spans="2:11" ht="21.75" customHeight="1" x14ac:dyDescent="0.4">
      <c r="B18" s="25"/>
      <c r="C18" s="25"/>
      <c r="D18" s="25"/>
      <c r="E18" s="25"/>
      <c r="F18" s="25"/>
      <c r="G18" s="25"/>
      <c r="H18" s="25"/>
      <c r="I18" s="25"/>
      <c r="J18" s="25"/>
      <c r="K18" s="25"/>
    </row>
    <row r="19" spans="2:11" ht="21.75" customHeight="1" x14ac:dyDescent="0.4">
      <c r="B19" s="26"/>
      <c r="C19" s="26"/>
      <c r="D19" s="26"/>
      <c r="E19" s="26"/>
      <c r="F19" s="26"/>
      <c r="G19" s="26"/>
      <c r="H19" s="26"/>
      <c r="I19" s="26"/>
      <c r="J19" s="26"/>
      <c r="K19" s="26"/>
    </row>
    <row r="20" spans="2:11" ht="21.75" customHeight="1" x14ac:dyDescent="0.4">
      <c r="B20" s="25"/>
      <c r="C20" s="25"/>
      <c r="D20" s="25"/>
      <c r="E20" s="25"/>
      <c r="F20" s="25"/>
      <c r="G20" s="25"/>
      <c r="H20" s="25"/>
      <c r="I20" s="25"/>
      <c r="J20" s="25"/>
      <c r="K20" s="25"/>
    </row>
    <row r="21" spans="2:11" ht="21.75" customHeight="1" x14ac:dyDescent="0.4">
      <c r="B21" s="26"/>
      <c r="C21" s="26"/>
      <c r="D21" s="26"/>
      <c r="E21" s="26"/>
      <c r="F21" s="26"/>
      <c r="G21" s="26"/>
      <c r="H21" s="26"/>
      <c r="I21" s="26"/>
      <c r="J21" s="26"/>
      <c r="K21" s="26"/>
    </row>
    <row r="22" spans="2:11" ht="21.75" customHeight="1" x14ac:dyDescent="0.4">
      <c r="B22" s="25"/>
      <c r="C22" s="25"/>
      <c r="D22" s="25"/>
      <c r="E22" s="25"/>
      <c r="F22" s="25"/>
      <c r="G22" s="25"/>
      <c r="H22" s="25"/>
      <c r="I22" s="25"/>
      <c r="J22" s="25"/>
      <c r="K22" s="25"/>
    </row>
    <row r="23" spans="2:11" ht="21.75" customHeight="1" x14ac:dyDescent="0.4">
      <c r="B23" s="26"/>
      <c r="C23" s="26"/>
      <c r="D23" s="26"/>
      <c r="E23" s="26"/>
      <c r="F23" s="26"/>
      <c r="G23" s="26"/>
      <c r="H23" s="26"/>
      <c r="I23" s="26"/>
      <c r="J23" s="26"/>
      <c r="K23" s="26"/>
    </row>
    <row r="24" spans="2:11" ht="21.75" customHeight="1" x14ac:dyDescent="0.4">
      <c r="B24" s="25"/>
      <c r="C24" s="25"/>
      <c r="D24" s="25"/>
      <c r="E24" s="25"/>
      <c r="F24" s="25"/>
      <c r="G24" s="25"/>
      <c r="H24" s="25"/>
      <c r="I24" s="25"/>
      <c r="J24" s="25"/>
      <c r="K24" s="25"/>
    </row>
    <row r="25" spans="2:11" ht="21.75" customHeight="1" x14ac:dyDescent="0.4">
      <c r="B25" s="26"/>
      <c r="C25" s="26"/>
      <c r="D25" s="26"/>
      <c r="E25" s="26"/>
      <c r="F25" s="26"/>
      <c r="G25" s="26"/>
      <c r="H25" s="26"/>
      <c r="I25" s="26"/>
      <c r="J25" s="26"/>
      <c r="K25" s="26"/>
    </row>
    <row r="26" spans="2:11" ht="21.75" customHeight="1" x14ac:dyDescent="0.4">
      <c r="B26" s="25"/>
      <c r="C26" s="25"/>
      <c r="D26" s="25"/>
      <c r="E26" s="25"/>
      <c r="F26" s="25"/>
      <c r="G26" s="25"/>
      <c r="H26" s="25"/>
      <c r="I26" s="25"/>
      <c r="J26" s="25"/>
      <c r="K26" s="25"/>
    </row>
    <row r="27" spans="2:11" ht="21.75" customHeight="1" x14ac:dyDescent="0.4">
      <c r="B27" s="26"/>
      <c r="C27" s="26"/>
      <c r="D27" s="26"/>
      <c r="E27" s="26"/>
      <c r="F27" s="26"/>
      <c r="G27" s="26"/>
      <c r="H27" s="26"/>
      <c r="I27" s="26"/>
      <c r="J27" s="26"/>
      <c r="K27" s="26"/>
    </row>
    <row r="28" spans="2:11" ht="21.75" customHeight="1" x14ac:dyDescent="0.4">
      <c r="B28" s="25"/>
      <c r="C28" s="25"/>
      <c r="D28" s="25"/>
      <c r="E28" s="25"/>
      <c r="F28" s="25"/>
      <c r="G28" s="25"/>
      <c r="H28" s="25"/>
      <c r="I28" s="25"/>
      <c r="J28" s="25"/>
      <c r="K28" s="25"/>
    </row>
    <row r="29" spans="2:11" ht="21.75" customHeight="1" x14ac:dyDescent="0.4">
      <c r="B29" s="26"/>
      <c r="C29" s="26"/>
      <c r="D29" s="26"/>
      <c r="E29" s="26"/>
      <c r="F29" s="26"/>
      <c r="G29" s="26"/>
      <c r="H29" s="26"/>
      <c r="I29" s="26"/>
      <c r="J29" s="26"/>
      <c r="K29" s="26"/>
    </row>
    <row r="30" spans="2:11" ht="21.75" customHeight="1" x14ac:dyDescent="0.4">
      <c r="B30" s="25"/>
      <c r="C30" s="25"/>
      <c r="D30" s="25"/>
      <c r="E30" s="25"/>
      <c r="F30" s="25"/>
      <c r="G30" s="25"/>
      <c r="H30" s="25"/>
      <c r="I30" s="25"/>
      <c r="J30" s="25"/>
      <c r="K30" s="25"/>
    </row>
    <row r="31" spans="2:11" ht="21.75" customHeight="1" x14ac:dyDescent="0.4">
      <c r="B31" s="26"/>
      <c r="C31" s="26"/>
      <c r="D31" s="26"/>
      <c r="E31" s="26"/>
      <c r="F31" s="26"/>
      <c r="G31" s="26"/>
      <c r="H31" s="26"/>
      <c r="I31" s="26"/>
      <c r="J31" s="26"/>
      <c r="K31" s="26"/>
    </row>
    <row r="32" spans="2:11" ht="21.75" customHeight="1" x14ac:dyDescent="0.4">
      <c r="B32" s="25"/>
      <c r="C32" s="25"/>
      <c r="D32" s="25"/>
      <c r="E32" s="25"/>
      <c r="F32" s="25"/>
      <c r="G32" s="25"/>
      <c r="H32" s="25"/>
      <c r="I32" s="25"/>
      <c r="J32" s="25"/>
      <c r="K32" s="25"/>
    </row>
    <row r="33" spans="2:11" ht="21.75" customHeight="1" x14ac:dyDescent="0.4">
      <c r="B33" s="26"/>
      <c r="C33" s="26"/>
      <c r="D33" s="26"/>
      <c r="E33" s="26"/>
      <c r="F33" s="26"/>
      <c r="G33" s="26"/>
      <c r="H33" s="26"/>
      <c r="I33" s="26"/>
      <c r="J33" s="26"/>
      <c r="K33" s="26"/>
    </row>
    <row r="34" spans="2:11" ht="21.75" customHeight="1" x14ac:dyDescent="0.4">
      <c r="B34" s="25"/>
      <c r="C34" s="25"/>
      <c r="D34" s="25"/>
      <c r="E34" s="25"/>
      <c r="F34" s="25"/>
      <c r="G34" s="25"/>
      <c r="H34" s="25"/>
      <c r="I34" s="25"/>
      <c r="J34" s="25"/>
      <c r="K34" s="25"/>
    </row>
    <row r="35" spans="2:11" ht="21.75" customHeight="1" x14ac:dyDescent="0.4">
      <c r="B35" s="26"/>
      <c r="C35" s="26"/>
      <c r="D35" s="26"/>
      <c r="E35" s="26"/>
      <c r="F35" s="26"/>
      <c r="G35" s="26"/>
      <c r="H35" s="26"/>
      <c r="I35" s="26"/>
      <c r="J35" s="26"/>
      <c r="K35" s="26"/>
    </row>
    <row r="36" spans="2:11" ht="21.75" customHeight="1" x14ac:dyDescent="0.4">
      <c r="B36" s="25"/>
      <c r="C36" s="25"/>
      <c r="D36" s="25"/>
      <c r="E36" s="25"/>
      <c r="F36" s="25"/>
      <c r="G36" s="25"/>
      <c r="H36" s="25"/>
      <c r="I36" s="25"/>
      <c r="J36" s="25"/>
      <c r="K36" s="25"/>
    </row>
    <row r="37" spans="2:11" ht="21.75" customHeight="1" x14ac:dyDescent="0.4">
      <c r="B37" s="26"/>
      <c r="C37" s="26"/>
      <c r="D37" s="26"/>
      <c r="E37" s="26"/>
      <c r="F37" s="26"/>
      <c r="G37" s="26"/>
      <c r="H37" s="26"/>
      <c r="I37" s="26"/>
      <c r="J37" s="26"/>
      <c r="K37" s="26"/>
    </row>
    <row r="38" spans="2:11" ht="21.75" customHeight="1" x14ac:dyDescent="0.4">
      <c r="B38" s="25"/>
      <c r="C38" s="25"/>
      <c r="D38" s="25"/>
      <c r="E38" s="25"/>
      <c r="F38" s="25"/>
      <c r="G38" s="25"/>
      <c r="H38" s="25"/>
      <c r="I38" s="25"/>
      <c r="J38" s="25"/>
      <c r="K38" s="25"/>
    </row>
    <row r="39" spans="2:11" ht="21.75" customHeight="1" x14ac:dyDescent="0.4">
      <c r="B39" s="26"/>
      <c r="C39" s="26"/>
      <c r="D39" s="26"/>
      <c r="E39" s="26"/>
      <c r="F39" s="26"/>
      <c r="G39" s="26"/>
      <c r="H39" s="26"/>
      <c r="I39" s="26"/>
      <c r="J39" s="26"/>
      <c r="K39" s="26"/>
    </row>
    <row r="40" spans="2:11" ht="21.75" customHeight="1" x14ac:dyDescent="0.4">
      <c r="B40" s="25"/>
      <c r="C40" s="25"/>
      <c r="D40" s="25"/>
      <c r="E40" s="25"/>
      <c r="F40" s="25"/>
      <c r="G40" s="25"/>
      <c r="H40" s="25"/>
      <c r="I40" s="25"/>
      <c r="J40" s="25"/>
      <c r="K40" s="25"/>
    </row>
    <row r="41" spans="2:11" ht="21.75" customHeight="1" x14ac:dyDescent="0.4">
      <c r="B41" s="26"/>
      <c r="C41" s="26"/>
      <c r="D41" s="26"/>
      <c r="E41" s="26"/>
      <c r="F41" s="26"/>
      <c r="G41" s="26"/>
      <c r="H41" s="26"/>
      <c r="I41" s="26"/>
      <c r="J41" s="26"/>
      <c r="K41" s="26"/>
    </row>
    <row r="42" spans="2:11" ht="21.75" customHeight="1" x14ac:dyDescent="0.4">
      <c r="B42" s="25"/>
      <c r="C42" s="25"/>
      <c r="D42" s="25"/>
      <c r="E42" s="25"/>
      <c r="F42" s="25"/>
      <c r="G42" s="25"/>
      <c r="H42" s="25"/>
      <c r="I42" s="25"/>
      <c r="J42" s="25"/>
      <c r="K42" s="25"/>
    </row>
    <row r="43" spans="2:11" ht="21.75" customHeight="1" x14ac:dyDescent="0.4">
      <c r="B43" s="26"/>
      <c r="C43" s="26"/>
      <c r="D43" s="26"/>
      <c r="E43" s="26"/>
      <c r="F43" s="26"/>
      <c r="G43" s="26"/>
      <c r="H43" s="26"/>
      <c r="I43" s="26"/>
      <c r="J43" s="26"/>
      <c r="K43" s="26"/>
    </row>
    <row r="44" spans="2:11" ht="21.75" customHeight="1" x14ac:dyDescent="0.4">
      <c r="B44" s="25"/>
      <c r="C44" s="25"/>
      <c r="D44" s="25"/>
      <c r="E44" s="25"/>
      <c r="F44" s="25"/>
      <c r="G44" s="25"/>
      <c r="H44" s="25"/>
      <c r="I44" s="25"/>
      <c r="J44" s="25"/>
      <c r="K44" s="25"/>
    </row>
    <row r="45" spans="2:11" ht="21.75" customHeight="1" x14ac:dyDescent="0.4">
      <c r="B45" s="26"/>
      <c r="C45" s="26"/>
      <c r="D45" s="26"/>
      <c r="E45" s="26"/>
      <c r="F45" s="26"/>
      <c r="G45" s="26"/>
      <c r="H45" s="26"/>
      <c r="I45" s="26"/>
      <c r="J45" s="26"/>
      <c r="K45" s="26"/>
    </row>
    <row r="46" spans="2:11" ht="21.75" customHeight="1" x14ac:dyDescent="0.4">
      <c r="B46" s="25"/>
      <c r="C46" s="25"/>
      <c r="D46" s="25"/>
      <c r="E46" s="25"/>
      <c r="F46" s="25"/>
      <c r="G46" s="25"/>
      <c r="H46" s="25"/>
      <c r="I46" s="25"/>
      <c r="J46" s="25"/>
      <c r="K46" s="25"/>
    </row>
    <row r="47" spans="2:11" ht="21.75" customHeight="1" x14ac:dyDescent="0.4">
      <c r="B47" s="26"/>
      <c r="C47" s="26"/>
      <c r="D47" s="26"/>
      <c r="E47" s="26"/>
      <c r="F47" s="26"/>
      <c r="G47" s="26"/>
      <c r="H47" s="26"/>
      <c r="I47" s="26"/>
      <c r="J47" s="26"/>
      <c r="K47" s="26"/>
    </row>
    <row r="48" spans="2:11" ht="21.75" customHeight="1" x14ac:dyDescent="0.4">
      <c r="B48" s="25"/>
      <c r="C48" s="25"/>
      <c r="D48" s="25"/>
      <c r="E48" s="25"/>
      <c r="F48" s="25"/>
      <c r="G48" s="25"/>
      <c r="H48" s="25"/>
      <c r="I48" s="25"/>
      <c r="J48" s="25"/>
      <c r="K48" s="25"/>
    </row>
    <row r="49" spans="2:11" ht="21.75" customHeight="1" x14ac:dyDescent="0.4">
      <c r="B49" s="26"/>
      <c r="C49" s="26"/>
      <c r="D49" s="26"/>
      <c r="E49" s="26"/>
      <c r="F49" s="26"/>
      <c r="G49" s="26"/>
      <c r="H49" s="26"/>
      <c r="I49" s="26"/>
      <c r="J49" s="26"/>
      <c r="K49" s="26"/>
    </row>
    <row r="50" spans="2:11" ht="21.75" customHeight="1" x14ac:dyDescent="0.4">
      <c r="B50" s="25"/>
      <c r="C50" s="25"/>
      <c r="D50" s="25"/>
      <c r="E50" s="25"/>
      <c r="F50" s="25"/>
      <c r="G50" s="25"/>
      <c r="H50" s="25"/>
      <c r="I50" s="25"/>
      <c r="J50" s="25"/>
      <c r="K50" s="25"/>
    </row>
    <row r="51" spans="2:11" ht="21.75" customHeight="1" x14ac:dyDescent="0.4">
      <c r="B51" s="26"/>
      <c r="C51" s="26"/>
      <c r="D51" s="26"/>
      <c r="E51" s="26"/>
      <c r="F51" s="26"/>
      <c r="G51" s="26"/>
      <c r="H51" s="26"/>
      <c r="I51" s="26"/>
      <c r="J51" s="26"/>
      <c r="K51" s="26"/>
    </row>
    <row r="52" spans="2:11" ht="21.75" customHeight="1" x14ac:dyDescent="0.4"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2:11" ht="21.75" customHeight="1" x14ac:dyDescent="0.4">
      <c r="B53" s="26"/>
      <c r="C53" s="26"/>
      <c r="D53" s="26"/>
      <c r="E53" s="26"/>
      <c r="F53" s="26"/>
      <c r="G53" s="26"/>
      <c r="H53" s="26"/>
      <c r="I53" s="26"/>
      <c r="J53" s="26"/>
      <c r="K53" s="26"/>
    </row>
  </sheetData>
  <mergeCells count="1">
    <mergeCell ref="B2:K2"/>
  </mergeCells>
  <conditionalFormatting sqref="D4:D53">
    <cfRule type="cellIs" dxfId="12" priority="2" operator="equal">
      <formula>"Completado"</formula>
    </cfRule>
    <cfRule type="cellIs" dxfId="11" priority="3" operator="equal">
      <formula>"En Progreso"</formula>
    </cfRule>
    <cfRule type="cellIs" dxfId="10" priority="4" operator="equal">
      <formula>"Pendiente"</formula>
    </cfRule>
    <cfRule type="cellIs" dxfId="9" priority="5" operator="equal">
      <formula>"Bloqueado"</formula>
    </cfRule>
    <cfRule type="cellIs" dxfId="8" priority="6" operator="equal">
      <formula>"Cancelado"</formula>
    </cfRule>
  </conditionalFormatting>
  <conditionalFormatting sqref="G4:G53">
    <cfRule type="cellIs" dxfId="7" priority="7" operator="equal">
      <formula>"Alta"</formula>
    </cfRule>
    <cfRule type="cellIs" dxfId="6" priority="8" operator="equal">
      <formula>"Media"</formula>
    </cfRule>
    <cfRule type="cellIs" dxfId="5" priority="9" operator="equal">
      <formula>"Baja"</formula>
    </cfRule>
    <cfRule type="cellIs" dxfId="4" priority="10" operator="equal">
      <formula>"Sin Deuda"</formula>
    </cfRule>
  </conditionalFormatting>
  <dataValidations count="3">
    <dataValidation type="list" allowBlank="1" showErrorMessage="1" errorTitle="Valor inválido" error="Selecciona un estado válido de la lista." sqref="D4:D53" xr:uid="{00000000-0002-0000-0100-000000000000}">
      <formula1>"Pendiente,En Progreso,Completado,Bloqueado,Cancelado"</formula1>
      <formula2>0</formula2>
    </dataValidation>
    <dataValidation type="list" allowBlank="1" showErrorMessage="1" errorTitle="Valor inválido" error="Selecciona un nivel de deuda válido." sqref="G4:G53" xr:uid="{00000000-0002-0000-0100-000001000000}">
      <formula1>"Sin Deuda,Baja,Media,Alta"</formula1>
      <formula2>0</formula2>
    </dataValidation>
    <dataValidation type="decimal" allowBlank="1" showErrorMessage="1" errorTitle="Valor inválido" error="Ingresa un valor entre 0 y 1 (ej: 0.75 = 75%)" sqref="E4:E53" xr:uid="{00000000-0002-0000-0100-000002000000}">
      <formula1>0</formula1>
      <formula2>1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</sheetPr>
  <dimension ref="B1:I54"/>
  <sheetViews>
    <sheetView showGridLines="0" zoomScaleNormal="100" workbookViewId="0"/>
  </sheetViews>
  <sheetFormatPr baseColWidth="10" defaultColWidth="8.69140625" defaultRowHeight="14.6" x14ac:dyDescent="0.4"/>
  <cols>
    <col min="1" max="1" width="3" customWidth="1"/>
    <col min="2" max="2" width="25" customWidth="1"/>
    <col min="3" max="3" width="18" customWidth="1"/>
    <col min="4" max="4" width="16" customWidth="1"/>
    <col min="5" max="5" width="20" customWidth="1"/>
    <col min="6" max="6" width="25" customWidth="1"/>
    <col min="7" max="8" width="14" customWidth="1"/>
    <col min="9" max="9" width="35" customWidth="1"/>
    <col min="10" max="10" width="3" customWidth="1"/>
  </cols>
  <sheetData>
    <row r="1" spans="2:9" ht="9.75" customHeight="1" x14ac:dyDescent="0.4"/>
    <row r="2" spans="2:9" ht="42" customHeight="1" x14ac:dyDescent="0.4">
      <c r="B2" s="3" t="s">
        <v>70</v>
      </c>
      <c r="C2" s="3"/>
      <c r="D2" s="3"/>
      <c r="E2" s="3"/>
      <c r="F2" s="3"/>
      <c r="G2" s="3"/>
      <c r="H2" s="3"/>
      <c r="I2" s="3"/>
    </row>
    <row r="3" spans="2:9" ht="9.75" customHeight="1" x14ac:dyDescent="0.4"/>
    <row r="4" spans="2:9" ht="36" customHeight="1" x14ac:dyDescent="0.4">
      <c r="B4" s="27" t="s">
        <v>10</v>
      </c>
      <c r="C4" s="27" t="s">
        <v>71</v>
      </c>
      <c r="D4" s="27" t="s">
        <v>72</v>
      </c>
      <c r="E4" s="27" t="s">
        <v>73</v>
      </c>
      <c r="F4" s="27" t="s">
        <v>74</v>
      </c>
      <c r="G4" s="27" t="s">
        <v>75</v>
      </c>
      <c r="H4" s="27" t="s">
        <v>76</v>
      </c>
      <c r="I4" s="27" t="s">
        <v>20</v>
      </c>
    </row>
    <row r="5" spans="2:9" ht="21.75" customHeight="1" x14ac:dyDescent="0.4">
      <c r="B5" s="19" t="s">
        <v>22</v>
      </c>
      <c r="C5" s="19" t="s">
        <v>77</v>
      </c>
      <c r="D5" s="19" t="s">
        <v>78</v>
      </c>
      <c r="E5" s="19" t="s">
        <v>79</v>
      </c>
      <c r="F5" s="19" t="s">
        <v>80</v>
      </c>
      <c r="G5" s="19" t="s">
        <v>81</v>
      </c>
      <c r="H5" s="19" t="s">
        <v>82</v>
      </c>
      <c r="I5" s="19" t="s">
        <v>83</v>
      </c>
    </row>
    <row r="6" spans="2:9" ht="21.75" customHeight="1" x14ac:dyDescent="0.4">
      <c r="B6" s="22" t="s">
        <v>31</v>
      </c>
      <c r="C6" s="22" t="s">
        <v>84</v>
      </c>
      <c r="D6" s="22" t="s">
        <v>85</v>
      </c>
      <c r="E6" s="22" t="s">
        <v>86</v>
      </c>
      <c r="F6" s="22" t="s">
        <v>87</v>
      </c>
      <c r="G6" s="22" t="s">
        <v>35</v>
      </c>
      <c r="H6" s="22" t="s">
        <v>88</v>
      </c>
      <c r="I6" s="22" t="s">
        <v>89</v>
      </c>
    </row>
    <row r="7" spans="2:9" ht="21.75" customHeight="1" x14ac:dyDescent="0.4">
      <c r="B7" s="19" t="s">
        <v>39</v>
      </c>
      <c r="C7" s="19" t="s">
        <v>90</v>
      </c>
      <c r="D7" s="19" t="s">
        <v>91</v>
      </c>
      <c r="E7" s="19" t="s">
        <v>92</v>
      </c>
      <c r="F7" s="19" t="s">
        <v>93</v>
      </c>
      <c r="G7" s="19" t="s">
        <v>42</v>
      </c>
      <c r="H7" s="19" t="s">
        <v>94</v>
      </c>
      <c r="I7" s="19" t="s">
        <v>95</v>
      </c>
    </row>
    <row r="8" spans="2:9" ht="21.75" customHeight="1" x14ac:dyDescent="0.4">
      <c r="B8" s="22" t="s">
        <v>58</v>
      </c>
      <c r="C8" s="22" t="s">
        <v>96</v>
      </c>
      <c r="D8" s="22" t="s">
        <v>97</v>
      </c>
      <c r="E8" s="22" t="s">
        <v>79</v>
      </c>
      <c r="F8" s="22" t="s">
        <v>98</v>
      </c>
      <c r="G8" s="22" t="s">
        <v>55</v>
      </c>
      <c r="H8" s="22" t="s">
        <v>99</v>
      </c>
      <c r="I8" s="22" t="s">
        <v>100</v>
      </c>
    </row>
    <row r="9" spans="2:9" ht="21.75" customHeight="1" x14ac:dyDescent="0.4">
      <c r="B9" s="19" t="s">
        <v>64</v>
      </c>
      <c r="C9" s="19" t="s">
        <v>101</v>
      </c>
      <c r="D9" s="19" t="s">
        <v>102</v>
      </c>
      <c r="E9" s="19" t="s">
        <v>92</v>
      </c>
      <c r="F9" s="19" t="s">
        <v>103</v>
      </c>
      <c r="G9" s="19" t="s">
        <v>56</v>
      </c>
      <c r="H9" s="19" t="s">
        <v>104</v>
      </c>
      <c r="I9" s="19"/>
    </row>
    <row r="10" spans="2:9" ht="21.75" customHeight="1" x14ac:dyDescent="0.4">
      <c r="B10" s="28"/>
      <c r="C10" s="28"/>
      <c r="D10" s="28"/>
      <c r="E10" s="28"/>
      <c r="F10" s="28"/>
      <c r="G10" s="28"/>
      <c r="H10" s="28"/>
      <c r="I10" s="28"/>
    </row>
    <row r="11" spans="2:9" ht="21.75" customHeight="1" x14ac:dyDescent="0.4">
      <c r="B11" s="29"/>
      <c r="C11" s="29"/>
      <c r="D11" s="29"/>
      <c r="E11" s="29"/>
      <c r="F11" s="29"/>
      <c r="G11" s="29"/>
      <c r="H11" s="29"/>
      <c r="I11" s="29"/>
    </row>
    <row r="12" spans="2:9" ht="21.75" customHeight="1" x14ac:dyDescent="0.4">
      <c r="B12" s="28"/>
      <c r="C12" s="28"/>
      <c r="D12" s="28"/>
      <c r="E12" s="28"/>
      <c r="F12" s="28"/>
      <c r="G12" s="28"/>
      <c r="H12" s="28"/>
      <c r="I12" s="28"/>
    </row>
    <row r="13" spans="2:9" ht="21.75" customHeight="1" x14ac:dyDescent="0.4">
      <c r="B13" s="29"/>
      <c r="C13" s="29"/>
      <c r="D13" s="29"/>
      <c r="E13" s="29"/>
      <c r="F13" s="29"/>
      <c r="G13" s="29"/>
      <c r="H13" s="29"/>
      <c r="I13" s="29"/>
    </row>
    <row r="14" spans="2:9" ht="21.75" customHeight="1" x14ac:dyDescent="0.4">
      <c r="B14" s="28"/>
      <c r="C14" s="28"/>
      <c r="D14" s="28"/>
      <c r="E14" s="28"/>
      <c r="F14" s="28"/>
      <c r="G14" s="28"/>
      <c r="H14" s="28"/>
      <c r="I14" s="28"/>
    </row>
    <row r="15" spans="2:9" ht="21.75" customHeight="1" x14ac:dyDescent="0.4">
      <c r="B15" s="29"/>
      <c r="C15" s="29"/>
      <c r="D15" s="29"/>
      <c r="E15" s="29"/>
      <c r="F15" s="29"/>
      <c r="G15" s="29"/>
      <c r="H15" s="29"/>
      <c r="I15" s="29"/>
    </row>
    <row r="16" spans="2:9" ht="21.75" customHeight="1" x14ac:dyDescent="0.4">
      <c r="B16" s="28"/>
      <c r="C16" s="28"/>
      <c r="D16" s="28"/>
      <c r="E16" s="28"/>
      <c r="F16" s="28"/>
      <c r="G16" s="28"/>
      <c r="H16" s="28"/>
      <c r="I16" s="28"/>
    </row>
    <row r="17" spans="2:9" ht="21.75" customHeight="1" x14ac:dyDescent="0.4">
      <c r="B17" s="29"/>
      <c r="C17" s="29"/>
      <c r="D17" s="29"/>
      <c r="E17" s="29"/>
      <c r="F17" s="29"/>
      <c r="G17" s="29"/>
      <c r="H17" s="29"/>
      <c r="I17" s="29"/>
    </row>
    <row r="18" spans="2:9" ht="21.75" customHeight="1" x14ac:dyDescent="0.4">
      <c r="B18" s="28"/>
      <c r="C18" s="28"/>
      <c r="D18" s="28"/>
      <c r="E18" s="28"/>
      <c r="F18" s="28"/>
      <c r="G18" s="28"/>
      <c r="H18" s="28"/>
      <c r="I18" s="28"/>
    </row>
    <row r="19" spans="2:9" ht="21.75" customHeight="1" x14ac:dyDescent="0.4">
      <c r="B19" s="29"/>
      <c r="C19" s="29"/>
      <c r="D19" s="29"/>
      <c r="E19" s="29"/>
      <c r="F19" s="29"/>
      <c r="G19" s="29"/>
      <c r="H19" s="29"/>
      <c r="I19" s="29"/>
    </row>
    <row r="20" spans="2:9" ht="21.75" customHeight="1" x14ac:dyDescent="0.4">
      <c r="B20" s="28"/>
      <c r="C20" s="28"/>
      <c r="D20" s="28"/>
      <c r="E20" s="28"/>
      <c r="F20" s="28"/>
      <c r="G20" s="28"/>
      <c r="H20" s="28"/>
      <c r="I20" s="28"/>
    </row>
    <row r="21" spans="2:9" ht="21.75" customHeight="1" x14ac:dyDescent="0.4">
      <c r="B21" s="29"/>
      <c r="C21" s="29"/>
      <c r="D21" s="29"/>
      <c r="E21" s="29"/>
      <c r="F21" s="29"/>
      <c r="G21" s="29"/>
      <c r="H21" s="29"/>
      <c r="I21" s="29"/>
    </row>
    <row r="22" spans="2:9" ht="21.75" customHeight="1" x14ac:dyDescent="0.4">
      <c r="B22" s="28"/>
      <c r="C22" s="28"/>
      <c r="D22" s="28"/>
      <c r="E22" s="28"/>
      <c r="F22" s="28"/>
      <c r="G22" s="28"/>
      <c r="H22" s="28"/>
      <c r="I22" s="28"/>
    </row>
    <row r="23" spans="2:9" ht="21.75" customHeight="1" x14ac:dyDescent="0.4">
      <c r="B23" s="29"/>
      <c r="C23" s="29"/>
      <c r="D23" s="29"/>
      <c r="E23" s="29"/>
      <c r="F23" s="29"/>
      <c r="G23" s="29"/>
      <c r="H23" s="29"/>
      <c r="I23" s="29"/>
    </row>
    <row r="24" spans="2:9" ht="21.75" customHeight="1" x14ac:dyDescent="0.4">
      <c r="B24" s="28"/>
      <c r="C24" s="28"/>
      <c r="D24" s="28"/>
      <c r="E24" s="28"/>
      <c r="F24" s="28"/>
      <c r="G24" s="28"/>
      <c r="H24" s="28"/>
      <c r="I24" s="28"/>
    </row>
    <row r="25" spans="2:9" ht="21.75" customHeight="1" x14ac:dyDescent="0.4">
      <c r="B25" s="29"/>
      <c r="C25" s="29"/>
      <c r="D25" s="29"/>
      <c r="E25" s="29"/>
      <c r="F25" s="29"/>
      <c r="G25" s="29"/>
      <c r="H25" s="29"/>
      <c r="I25" s="29"/>
    </row>
    <row r="26" spans="2:9" ht="21.75" customHeight="1" x14ac:dyDescent="0.4">
      <c r="B26" s="28"/>
      <c r="C26" s="28"/>
      <c r="D26" s="28"/>
      <c r="E26" s="28"/>
      <c r="F26" s="28"/>
      <c r="G26" s="28"/>
      <c r="H26" s="28"/>
      <c r="I26" s="28"/>
    </row>
    <row r="27" spans="2:9" ht="21.75" customHeight="1" x14ac:dyDescent="0.4">
      <c r="B27" s="29"/>
      <c r="C27" s="29"/>
      <c r="D27" s="29"/>
      <c r="E27" s="29"/>
      <c r="F27" s="29"/>
      <c r="G27" s="29"/>
      <c r="H27" s="29"/>
      <c r="I27" s="29"/>
    </row>
    <row r="28" spans="2:9" ht="21.75" customHeight="1" x14ac:dyDescent="0.4">
      <c r="B28" s="28"/>
      <c r="C28" s="28"/>
      <c r="D28" s="28"/>
      <c r="E28" s="28"/>
      <c r="F28" s="28"/>
      <c r="G28" s="28"/>
      <c r="H28" s="28"/>
      <c r="I28" s="28"/>
    </row>
    <row r="29" spans="2:9" ht="21.75" customHeight="1" x14ac:dyDescent="0.4">
      <c r="B29" s="29"/>
      <c r="C29" s="29"/>
      <c r="D29" s="29"/>
      <c r="E29" s="29"/>
      <c r="F29" s="29"/>
      <c r="G29" s="29"/>
      <c r="H29" s="29"/>
      <c r="I29" s="29"/>
    </row>
    <row r="30" spans="2:9" ht="21.75" customHeight="1" x14ac:dyDescent="0.4">
      <c r="B30" s="28"/>
      <c r="C30" s="28"/>
      <c r="D30" s="28"/>
      <c r="E30" s="28"/>
      <c r="F30" s="28"/>
      <c r="G30" s="28"/>
      <c r="H30" s="28"/>
      <c r="I30" s="28"/>
    </row>
    <row r="31" spans="2:9" ht="21.75" customHeight="1" x14ac:dyDescent="0.4">
      <c r="B31" s="29"/>
      <c r="C31" s="29"/>
      <c r="D31" s="29"/>
      <c r="E31" s="29"/>
      <c r="F31" s="29"/>
      <c r="G31" s="29"/>
      <c r="H31" s="29"/>
      <c r="I31" s="29"/>
    </row>
    <row r="32" spans="2:9" ht="21.75" customHeight="1" x14ac:dyDescent="0.4">
      <c r="B32" s="28"/>
      <c r="C32" s="28"/>
      <c r="D32" s="28"/>
      <c r="E32" s="28"/>
      <c r="F32" s="28"/>
      <c r="G32" s="28"/>
      <c r="H32" s="28"/>
      <c r="I32" s="28"/>
    </row>
    <row r="33" spans="2:9" ht="21.75" customHeight="1" x14ac:dyDescent="0.4">
      <c r="B33" s="29"/>
      <c r="C33" s="29"/>
      <c r="D33" s="29"/>
      <c r="E33" s="29"/>
      <c r="F33" s="29"/>
      <c r="G33" s="29"/>
      <c r="H33" s="29"/>
      <c r="I33" s="29"/>
    </row>
    <row r="34" spans="2:9" ht="21.75" customHeight="1" x14ac:dyDescent="0.4">
      <c r="B34" s="28"/>
      <c r="C34" s="28"/>
      <c r="D34" s="28"/>
      <c r="E34" s="28"/>
      <c r="F34" s="28"/>
      <c r="G34" s="28"/>
      <c r="H34" s="28"/>
      <c r="I34" s="28"/>
    </row>
    <row r="35" spans="2:9" ht="21.75" customHeight="1" x14ac:dyDescent="0.4">
      <c r="B35" s="29"/>
      <c r="C35" s="29"/>
      <c r="D35" s="29"/>
      <c r="E35" s="29"/>
      <c r="F35" s="29"/>
      <c r="G35" s="29"/>
      <c r="H35" s="29"/>
      <c r="I35" s="29"/>
    </row>
    <row r="36" spans="2:9" ht="21.75" customHeight="1" x14ac:dyDescent="0.4">
      <c r="B36" s="28"/>
      <c r="C36" s="28"/>
      <c r="D36" s="28"/>
      <c r="E36" s="28"/>
      <c r="F36" s="28"/>
      <c r="G36" s="28"/>
      <c r="H36" s="28"/>
      <c r="I36" s="28"/>
    </row>
    <row r="37" spans="2:9" ht="21.75" customHeight="1" x14ac:dyDescent="0.4">
      <c r="B37" s="29"/>
      <c r="C37" s="29"/>
      <c r="D37" s="29"/>
      <c r="E37" s="29"/>
      <c r="F37" s="29"/>
      <c r="G37" s="29"/>
      <c r="H37" s="29"/>
      <c r="I37" s="29"/>
    </row>
    <row r="38" spans="2:9" ht="21.75" customHeight="1" x14ac:dyDescent="0.4">
      <c r="B38" s="28"/>
      <c r="C38" s="28"/>
      <c r="D38" s="28"/>
      <c r="E38" s="28"/>
      <c r="F38" s="28"/>
      <c r="G38" s="28"/>
      <c r="H38" s="28"/>
      <c r="I38" s="28"/>
    </row>
    <row r="39" spans="2:9" ht="21.75" customHeight="1" x14ac:dyDescent="0.4">
      <c r="B39" s="29"/>
      <c r="C39" s="29"/>
      <c r="D39" s="29"/>
      <c r="E39" s="29"/>
      <c r="F39" s="29"/>
      <c r="G39" s="29"/>
      <c r="H39" s="29"/>
      <c r="I39" s="29"/>
    </row>
    <row r="40" spans="2:9" ht="21.75" customHeight="1" x14ac:dyDescent="0.4">
      <c r="B40" s="28"/>
      <c r="C40" s="28"/>
      <c r="D40" s="28"/>
      <c r="E40" s="28"/>
      <c r="F40" s="28"/>
      <c r="G40" s="28"/>
      <c r="H40" s="28"/>
      <c r="I40" s="28"/>
    </row>
    <row r="41" spans="2:9" ht="21.75" customHeight="1" x14ac:dyDescent="0.4">
      <c r="B41" s="29"/>
      <c r="C41" s="29"/>
      <c r="D41" s="29"/>
      <c r="E41" s="29"/>
      <c r="F41" s="29"/>
      <c r="G41" s="29"/>
      <c r="H41" s="29"/>
      <c r="I41" s="29"/>
    </row>
    <row r="42" spans="2:9" ht="21.75" customHeight="1" x14ac:dyDescent="0.4">
      <c r="B42" s="28"/>
      <c r="C42" s="28"/>
      <c r="D42" s="28"/>
      <c r="E42" s="28"/>
      <c r="F42" s="28"/>
      <c r="G42" s="28"/>
      <c r="H42" s="28"/>
      <c r="I42" s="28"/>
    </row>
    <row r="43" spans="2:9" ht="21.75" customHeight="1" x14ac:dyDescent="0.4">
      <c r="B43" s="29"/>
      <c r="C43" s="29"/>
      <c r="D43" s="29"/>
      <c r="E43" s="29"/>
      <c r="F43" s="29"/>
      <c r="G43" s="29"/>
      <c r="H43" s="29"/>
      <c r="I43" s="29"/>
    </row>
    <row r="44" spans="2:9" ht="21.75" customHeight="1" x14ac:dyDescent="0.4">
      <c r="B44" s="28"/>
      <c r="C44" s="28"/>
      <c r="D44" s="28"/>
      <c r="E44" s="28"/>
      <c r="F44" s="28"/>
      <c r="G44" s="28"/>
      <c r="H44" s="28"/>
      <c r="I44" s="28"/>
    </row>
    <row r="45" spans="2:9" ht="21.75" customHeight="1" x14ac:dyDescent="0.4">
      <c r="B45" s="29"/>
      <c r="C45" s="29"/>
      <c r="D45" s="29"/>
      <c r="E45" s="29"/>
      <c r="F45" s="29"/>
      <c r="G45" s="29"/>
      <c r="H45" s="29"/>
      <c r="I45" s="29"/>
    </row>
    <row r="46" spans="2:9" ht="21.75" customHeight="1" x14ac:dyDescent="0.4">
      <c r="B46" s="28"/>
      <c r="C46" s="28"/>
      <c r="D46" s="28"/>
      <c r="E46" s="28"/>
      <c r="F46" s="28"/>
      <c r="G46" s="28"/>
      <c r="H46" s="28"/>
      <c r="I46" s="28"/>
    </row>
    <row r="47" spans="2:9" ht="21.75" customHeight="1" x14ac:dyDescent="0.4">
      <c r="B47" s="29"/>
      <c r="C47" s="29"/>
      <c r="D47" s="29"/>
      <c r="E47" s="29"/>
      <c r="F47" s="29"/>
      <c r="G47" s="29"/>
      <c r="H47" s="29"/>
      <c r="I47" s="29"/>
    </row>
    <row r="48" spans="2:9" ht="21.75" customHeight="1" x14ac:dyDescent="0.4">
      <c r="B48" s="28"/>
      <c r="C48" s="28"/>
      <c r="D48" s="28"/>
      <c r="E48" s="28"/>
      <c r="F48" s="28"/>
      <c r="G48" s="28"/>
      <c r="H48" s="28"/>
      <c r="I48" s="28"/>
    </row>
    <row r="49" spans="2:9" ht="21.75" customHeight="1" x14ac:dyDescent="0.4">
      <c r="B49" s="29"/>
      <c r="C49" s="29"/>
      <c r="D49" s="29"/>
      <c r="E49" s="29"/>
      <c r="F49" s="29"/>
      <c r="G49" s="29"/>
      <c r="H49" s="29"/>
      <c r="I49" s="29"/>
    </row>
    <row r="50" spans="2:9" ht="21.75" customHeight="1" x14ac:dyDescent="0.4">
      <c r="B50" s="28"/>
      <c r="C50" s="28"/>
      <c r="D50" s="28"/>
      <c r="E50" s="28"/>
      <c r="F50" s="28"/>
      <c r="G50" s="28"/>
      <c r="H50" s="28"/>
      <c r="I50" s="28"/>
    </row>
    <row r="51" spans="2:9" ht="21.75" customHeight="1" x14ac:dyDescent="0.4">
      <c r="B51" s="29"/>
      <c r="C51" s="29"/>
      <c r="D51" s="29"/>
      <c r="E51" s="29"/>
      <c r="F51" s="29"/>
      <c r="G51" s="29"/>
      <c r="H51" s="29"/>
      <c r="I51" s="29"/>
    </row>
    <row r="52" spans="2:9" ht="21.75" customHeight="1" x14ac:dyDescent="0.4">
      <c r="B52" s="28"/>
      <c r="C52" s="28"/>
      <c r="D52" s="28"/>
      <c r="E52" s="28"/>
      <c r="F52" s="28"/>
      <c r="G52" s="28"/>
      <c r="H52" s="28"/>
      <c r="I52" s="28"/>
    </row>
    <row r="53" spans="2:9" ht="21.75" customHeight="1" x14ac:dyDescent="0.4">
      <c r="B53" s="29"/>
      <c r="C53" s="29"/>
      <c r="D53" s="29"/>
      <c r="E53" s="29"/>
      <c r="F53" s="29"/>
      <c r="G53" s="29"/>
      <c r="H53" s="29"/>
      <c r="I53" s="29"/>
    </row>
    <row r="54" spans="2:9" ht="21.75" customHeight="1" x14ac:dyDescent="0.4">
      <c r="B54" s="28"/>
      <c r="C54" s="28"/>
      <c r="D54" s="28"/>
      <c r="E54" s="28"/>
      <c r="F54" s="28"/>
      <c r="G54" s="28"/>
      <c r="H54" s="28"/>
      <c r="I54" s="28"/>
    </row>
  </sheetData>
  <mergeCells count="1">
    <mergeCell ref="B2:I2"/>
  </mergeCells>
  <conditionalFormatting sqref="E5:E54">
    <cfRule type="cellIs" dxfId="3" priority="2" operator="equal">
      <formula>"Crítico"</formula>
    </cfRule>
    <cfRule type="cellIs" dxfId="2" priority="3" operator="equal">
      <formula>"Alto"</formula>
    </cfRule>
    <cfRule type="cellIs" dxfId="1" priority="4" operator="equal">
      <formula>"Medio"</formula>
    </cfRule>
    <cfRule type="cellIs" dxfId="0" priority="5" operator="equal">
      <formula>"Bajo"</formula>
    </cfRule>
  </conditionalFormatting>
  <dataValidations count="1">
    <dataValidation type="list" allowBlank="1" sqref="E5:E54" xr:uid="{00000000-0002-0000-0200-000000000000}">
      <formula1>"Bajo,Medio,Alto,Crítico"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5B9BD5"/>
  </sheetPr>
  <dimension ref="B1:G104"/>
  <sheetViews>
    <sheetView showGridLines="0" zoomScaleNormal="100" workbookViewId="0"/>
  </sheetViews>
  <sheetFormatPr baseColWidth="10" defaultColWidth="8.69140625" defaultRowHeight="14.6" x14ac:dyDescent="0.4"/>
  <cols>
    <col min="1" max="1" width="3" customWidth="1"/>
    <col min="2" max="2" width="25" customWidth="1"/>
    <col min="3" max="4" width="20" customWidth="1"/>
    <col min="5" max="5" width="22" customWidth="1"/>
    <col min="6" max="6" width="35" customWidth="1"/>
    <col min="7" max="7" width="30" customWidth="1"/>
    <col min="8" max="8" width="3" customWidth="1"/>
  </cols>
  <sheetData>
    <row r="1" spans="2:7" ht="9.75" customHeight="1" x14ac:dyDescent="0.4"/>
    <row r="2" spans="2:7" ht="42" customHeight="1" x14ac:dyDescent="0.4">
      <c r="B2" s="2" t="s">
        <v>105</v>
      </c>
      <c r="C2" s="2"/>
      <c r="D2" s="2"/>
      <c r="E2" s="2"/>
      <c r="F2" s="2"/>
      <c r="G2" s="2"/>
    </row>
    <row r="3" spans="2:7" ht="9.75" customHeight="1" x14ac:dyDescent="0.4"/>
    <row r="4" spans="2:7" ht="36" customHeight="1" x14ac:dyDescent="0.4">
      <c r="B4" s="30" t="s">
        <v>10</v>
      </c>
      <c r="C4" s="30" t="s">
        <v>106</v>
      </c>
      <c r="D4" s="30" t="s">
        <v>72</v>
      </c>
      <c r="E4" s="30" t="s">
        <v>107</v>
      </c>
      <c r="F4" s="30" t="s">
        <v>108</v>
      </c>
      <c r="G4" s="30" t="s">
        <v>109</v>
      </c>
    </row>
    <row r="5" spans="2:7" ht="21.75" customHeight="1" x14ac:dyDescent="0.4">
      <c r="B5" s="19" t="s">
        <v>22</v>
      </c>
      <c r="C5" s="19" t="s">
        <v>110</v>
      </c>
      <c r="D5" s="19" t="s">
        <v>111</v>
      </c>
      <c r="E5" s="19" t="s">
        <v>28</v>
      </c>
      <c r="F5" s="21" t="s">
        <v>112</v>
      </c>
      <c r="G5" s="19" t="s">
        <v>80</v>
      </c>
    </row>
    <row r="6" spans="2:7" ht="21.75" customHeight="1" x14ac:dyDescent="0.4">
      <c r="B6" s="22" t="s">
        <v>31</v>
      </c>
      <c r="C6" s="22" t="s">
        <v>113</v>
      </c>
      <c r="D6" s="22" t="s">
        <v>114</v>
      </c>
      <c r="E6" s="22" t="s">
        <v>68</v>
      </c>
      <c r="F6" s="24" t="s">
        <v>115</v>
      </c>
      <c r="G6" s="22" t="s">
        <v>87</v>
      </c>
    </row>
    <row r="7" spans="2:7" ht="21.75" customHeight="1" x14ac:dyDescent="0.4">
      <c r="B7" s="19" t="s">
        <v>39</v>
      </c>
      <c r="C7" s="19" t="s">
        <v>116</v>
      </c>
      <c r="D7" s="19" t="s">
        <v>117</v>
      </c>
      <c r="E7" s="19" t="s">
        <v>36</v>
      </c>
      <c r="F7" s="21" t="s">
        <v>118</v>
      </c>
      <c r="G7" s="19" t="s">
        <v>93</v>
      </c>
    </row>
    <row r="8" spans="2:7" ht="21.75" customHeight="1" x14ac:dyDescent="0.4">
      <c r="B8" s="22" t="s">
        <v>53</v>
      </c>
      <c r="C8" s="22" t="s">
        <v>110</v>
      </c>
      <c r="D8" s="22" t="s">
        <v>119</v>
      </c>
      <c r="E8" s="22" t="s">
        <v>56</v>
      </c>
      <c r="F8" s="24" t="s">
        <v>120</v>
      </c>
      <c r="G8" s="22" t="s">
        <v>121</v>
      </c>
    </row>
    <row r="9" spans="2:7" ht="21.75" customHeight="1" x14ac:dyDescent="0.4">
      <c r="B9" s="19" t="s">
        <v>58</v>
      </c>
      <c r="C9" s="19" t="s">
        <v>122</v>
      </c>
      <c r="D9" s="19" t="s">
        <v>123</v>
      </c>
      <c r="E9" s="19" t="s">
        <v>61</v>
      </c>
      <c r="F9" s="21" t="s">
        <v>124</v>
      </c>
      <c r="G9" s="19" t="s">
        <v>98</v>
      </c>
    </row>
    <row r="10" spans="2:7" ht="21.75" customHeight="1" x14ac:dyDescent="0.4">
      <c r="B10" s="28"/>
      <c r="C10" s="28"/>
      <c r="D10" s="28"/>
      <c r="E10" s="28"/>
      <c r="F10" s="28"/>
      <c r="G10" s="28"/>
    </row>
    <row r="11" spans="2:7" ht="21.75" customHeight="1" x14ac:dyDescent="0.4">
      <c r="B11" s="29"/>
      <c r="C11" s="29"/>
      <c r="D11" s="29"/>
      <c r="E11" s="29"/>
      <c r="F11" s="29"/>
      <c r="G11" s="29"/>
    </row>
    <row r="12" spans="2:7" ht="21.75" customHeight="1" x14ac:dyDescent="0.4">
      <c r="B12" s="28"/>
      <c r="C12" s="28"/>
      <c r="D12" s="28"/>
      <c r="E12" s="28"/>
      <c r="F12" s="28"/>
      <c r="G12" s="28"/>
    </row>
    <row r="13" spans="2:7" ht="21.75" customHeight="1" x14ac:dyDescent="0.4">
      <c r="B13" s="29"/>
      <c r="C13" s="29"/>
      <c r="D13" s="29"/>
      <c r="E13" s="29"/>
      <c r="F13" s="29"/>
      <c r="G13" s="29"/>
    </row>
    <row r="14" spans="2:7" ht="21.75" customHeight="1" x14ac:dyDescent="0.4">
      <c r="B14" s="28"/>
      <c r="C14" s="28"/>
      <c r="D14" s="28"/>
      <c r="E14" s="28"/>
      <c r="F14" s="28"/>
      <c r="G14" s="28"/>
    </row>
    <row r="15" spans="2:7" ht="21.75" customHeight="1" x14ac:dyDescent="0.4">
      <c r="B15" s="29"/>
      <c r="C15" s="29"/>
      <c r="D15" s="29"/>
      <c r="E15" s="29"/>
      <c r="F15" s="29"/>
      <c r="G15" s="29"/>
    </row>
    <row r="16" spans="2:7" ht="21.75" customHeight="1" x14ac:dyDescent="0.4">
      <c r="B16" s="28"/>
      <c r="C16" s="28"/>
      <c r="D16" s="28"/>
      <c r="E16" s="28"/>
      <c r="F16" s="28"/>
      <c r="G16" s="28"/>
    </row>
    <row r="17" spans="2:7" ht="21.75" customHeight="1" x14ac:dyDescent="0.4">
      <c r="B17" s="29"/>
      <c r="C17" s="29"/>
      <c r="D17" s="29"/>
      <c r="E17" s="29"/>
      <c r="F17" s="29"/>
      <c r="G17" s="29"/>
    </row>
    <row r="18" spans="2:7" ht="21.75" customHeight="1" x14ac:dyDescent="0.4">
      <c r="B18" s="28"/>
      <c r="C18" s="28"/>
      <c r="D18" s="28"/>
      <c r="E18" s="28"/>
      <c r="F18" s="28"/>
      <c r="G18" s="28"/>
    </row>
    <row r="19" spans="2:7" ht="21.75" customHeight="1" x14ac:dyDescent="0.4">
      <c r="B19" s="29"/>
      <c r="C19" s="29"/>
      <c r="D19" s="29"/>
      <c r="E19" s="29"/>
      <c r="F19" s="29"/>
      <c r="G19" s="29"/>
    </row>
    <row r="20" spans="2:7" ht="21.75" customHeight="1" x14ac:dyDescent="0.4">
      <c r="B20" s="28"/>
      <c r="C20" s="28"/>
      <c r="D20" s="28"/>
      <c r="E20" s="28"/>
      <c r="F20" s="28"/>
      <c r="G20" s="28"/>
    </row>
    <row r="21" spans="2:7" ht="21.75" customHeight="1" x14ac:dyDescent="0.4">
      <c r="B21" s="29"/>
      <c r="C21" s="29"/>
      <c r="D21" s="29"/>
      <c r="E21" s="29"/>
      <c r="F21" s="29"/>
      <c r="G21" s="29"/>
    </row>
    <row r="22" spans="2:7" ht="21.75" customHeight="1" x14ac:dyDescent="0.4">
      <c r="B22" s="28"/>
      <c r="C22" s="28"/>
      <c r="D22" s="28"/>
      <c r="E22" s="28"/>
      <c r="F22" s="28"/>
      <c r="G22" s="28"/>
    </row>
    <row r="23" spans="2:7" ht="21.75" customHeight="1" x14ac:dyDescent="0.4">
      <c r="B23" s="29"/>
      <c r="C23" s="29"/>
      <c r="D23" s="29"/>
      <c r="E23" s="29"/>
      <c r="F23" s="29"/>
      <c r="G23" s="29"/>
    </row>
    <row r="24" spans="2:7" ht="21.75" customHeight="1" x14ac:dyDescent="0.4">
      <c r="B24" s="28"/>
      <c r="C24" s="28"/>
      <c r="D24" s="28"/>
      <c r="E24" s="28"/>
      <c r="F24" s="28"/>
      <c r="G24" s="28"/>
    </row>
    <row r="25" spans="2:7" ht="21.75" customHeight="1" x14ac:dyDescent="0.4">
      <c r="B25" s="29"/>
      <c r="C25" s="29"/>
      <c r="D25" s="29"/>
      <c r="E25" s="29"/>
      <c r="F25" s="29"/>
      <c r="G25" s="29"/>
    </row>
    <row r="26" spans="2:7" ht="21.75" customHeight="1" x14ac:dyDescent="0.4">
      <c r="B26" s="28"/>
      <c r="C26" s="28"/>
      <c r="D26" s="28"/>
      <c r="E26" s="28"/>
      <c r="F26" s="28"/>
      <c r="G26" s="28"/>
    </row>
    <row r="27" spans="2:7" ht="21.75" customHeight="1" x14ac:dyDescent="0.4">
      <c r="B27" s="29"/>
      <c r="C27" s="29"/>
      <c r="D27" s="29"/>
      <c r="E27" s="29"/>
      <c r="F27" s="29"/>
      <c r="G27" s="29"/>
    </row>
    <row r="28" spans="2:7" ht="21.75" customHeight="1" x14ac:dyDescent="0.4">
      <c r="B28" s="28"/>
      <c r="C28" s="28"/>
      <c r="D28" s="28"/>
      <c r="E28" s="28"/>
      <c r="F28" s="28"/>
      <c r="G28" s="28"/>
    </row>
    <row r="29" spans="2:7" ht="21.75" customHeight="1" x14ac:dyDescent="0.4">
      <c r="B29" s="29"/>
      <c r="C29" s="29"/>
      <c r="D29" s="29"/>
      <c r="E29" s="29"/>
      <c r="F29" s="29"/>
      <c r="G29" s="29"/>
    </row>
    <row r="30" spans="2:7" ht="21.75" customHeight="1" x14ac:dyDescent="0.4">
      <c r="B30" s="28"/>
      <c r="C30" s="28"/>
      <c r="D30" s="28"/>
      <c r="E30" s="28"/>
      <c r="F30" s="28"/>
      <c r="G30" s="28"/>
    </row>
    <row r="31" spans="2:7" ht="21.75" customHeight="1" x14ac:dyDescent="0.4">
      <c r="B31" s="29"/>
      <c r="C31" s="29"/>
      <c r="D31" s="29"/>
      <c r="E31" s="29"/>
      <c r="F31" s="29"/>
      <c r="G31" s="29"/>
    </row>
    <row r="32" spans="2:7" ht="21.75" customHeight="1" x14ac:dyDescent="0.4">
      <c r="B32" s="28"/>
      <c r="C32" s="28"/>
      <c r="D32" s="28"/>
      <c r="E32" s="28"/>
      <c r="F32" s="28"/>
      <c r="G32" s="28"/>
    </row>
    <row r="33" spans="2:7" ht="21.75" customHeight="1" x14ac:dyDescent="0.4">
      <c r="B33" s="29"/>
      <c r="C33" s="29"/>
      <c r="D33" s="29"/>
      <c r="E33" s="29"/>
      <c r="F33" s="29"/>
      <c r="G33" s="29"/>
    </row>
    <row r="34" spans="2:7" ht="21.75" customHeight="1" x14ac:dyDescent="0.4">
      <c r="B34" s="28"/>
      <c r="C34" s="28"/>
      <c r="D34" s="28"/>
      <c r="E34" s="28"/>
      <c r="F34" s="28"/>
      <c r="G34" s="28"/>
    </row>
    <row r="35" spans="2:7" ht="21.75" customHeight="1" x14ac:dyDescent="0.4">
      <c r="B35" s="29"/>
      <c r="C35" s="29"/>
      <c r="D35" s="29"/>
      <c r="E35" s="29"/>
      <c r="F35" s="29"/>
      <c r="G35" s="29"/>
    </row>
    <row r="36" spans="2:7" ht="21.75" customHeight="1" x14ac:dyDescent="0.4">
      <c r="B36" s="28"/>
      <c r="C36" s="28"/>
      <c r="D36" s="28"/>
      <c r="E36" s="28"/>
      <c r="F36" s="28"/>
      <c r="G36" s="28"/>
    </row>
    <row r="37" spans="2:7" ht="21.75" customHeight="1" x14ac:dyDescent="0.4">
      <c r="B37" s="29"/>
      <c r="C37" s="29"/>
      <c r="D37" s="29"/>
      <c r="E37" s="29"/>
      <c r="F37" s="29"/>
      <c r="G37" s="29"/>
    </row>
    <row r="38" spans="2:7" ht="21.75" customHeight="1" x14ac:dyDescent="0.4">
      <c r="B38" s="28"/>
      <c r="C38" s="28"/>
      <c r="D38" s="28"/>
      <c r="E38" s="28"/>
      <c r="F38" s="28"/>
      <c r="G38" s="28"/>
    </row>
    <row r="39" spans="2:7" ht="21.75" customHeight="1" x14ac:dyDescent="0.4">
      <c r="B39" s="29"/>
      <c r="C39" s="29"/>
      <c r="D39" s="29"/>
      <c r="E39" s="29"/>
      <c r="F39" s="29"/>
      <c r="G39" s="29"/>
    </row>
    <row r="40" spans="2:7" ht="21.75" customHeight="1" x14ac:dyDescent="0.4">
      <c r="B40" s="28"/>
      <c r="C40" s="28"/>
      <c r="D40" s="28"/>
      <c r="E40" s="28"/>
      <c r="F40" s="28"/>
      <c r="G40" s="28"/>
    </row>
    <row r="41" spans="2:7" ht="21.75" customHeight="1" x14ac:dyDescent="0.4">
      <c r="B41" s="29"/>
      <c r="C41" s="29"/>
      <c r="D41" s="29"/>
      <c r="E41" s="29"/>
      <c r="F41" s="29"/>
      <c r="G41" s="29"/>
    </row>
    <row r="42" spans="2:7" ht="21.75" customHeight="1" x14ac:dyDescent="0.4">
      <c r="B42" s="28"/>
      <c r="C42" s="28"/>
      <c r="D42" s="28"/>
      <c r="E42" s="28"/>
      <c r="F42" s="28"/>
      <c r="G42" s="28"/>
    </row>
    <row r="43" spans="2:7" ht="21.75" customHeight="1" x14ac:dyDescent="0.4">
      <c r="B43" s="29"/>
      <c r="C43" s="29"/>
      <c r="D43" s="29"/>
      <c r="E43" s="29"/>
      <c r="F43" s="29"/>
      <c r="G43" s="29"/>
    </row>
    <row r="44" spans="2:7" ht="21.75" customHeight="1" x14ac:dyDescent="0.4">
      <c r="B44" s="28"/>
      <c r="C44" s="28"/>
      <c r="D44" s="28"/>
      <c r="E44" s="28"/>
      <c r="F44" s="28"/>
      <c r="G44" s="28"/>
    </row>
    <row r="45" spans="2:7" ht="21.75" customHeight="1" x14ac:dyDescent="0.4">
      <c r="B45" s="29"/>
      <c r="C45" s="29"/>
      <c r="D45" s="29"/>
      <c r="E45" s="29"/>
      <c r="F45" s="29"/>
      <c r="G45" s="29"/>
    </row>
    <row r="46" spans="2:7" ht="21.75" customHeight="1" x14ac:dyDescent="0.4">
      <c r="B46" s="28"/>
      <c r="C46" s="28"/>
      <c r="D46" s="28"/>
      <c r="E46" s="28"/>
      <c r="F46" s="28"/>
      <c r="G46" s="28"/>
    </row>
    <row r="47" spans="2:7" ht="21.75" customHeight="1" x14ac:dyDescent="0.4">
      <c r="B47" s="29"/>
      <c r="C47" s="29"/>
      <c r="D47" s="29"/>
      <c r="E47" s="29"/>
      <c r="F47" s="29"/>
      <c r="G47" s="29"/>
    </row>
    <row r="48" spans="2:7" ht="21.75" customHeight="1" x14ac:dyDescent="0.4">
      <c r="B48" s="28"/>
      <c r="C48" s="28"/>
      <c r="D48" s="28"/>
      <c r="E48" s="28"/>
      <c r="F48" s="28"/>
      <c r="G48" s="28"/>
    </row>
    <row r="49" spans="2:7" ht="21.75" customHeight="1" x14ac:dyDescent="0.4">
      <c r="B49" s="29"/>
      <c r="C49" s="29"/>
      <c r="D49" s="29"/>
      <c r="E49" s="29"/>
      <c r="F49" s="29"/>
      <c r="G49" s="29"/>
    </row>
    <row r="50" spans="2:7" ht="21.75" customHeight="1" x14ac:dyDescent="0.4">
      <c r="B50" s="28"/>
      <c r="C50" s="28"/>
      <c r="D50" s="28"/>
      <c r="E50" s="28"/>
      <c r="F50" s="28"/>
      <c r="G50" s="28"/>
    </row>
    <row r="51" spans="2:7" ht="21.75" customHeight="1" x14ac:dyDescent="0.4">
      <c r="B51" s="29"/>
      <c r="C51" s="29"/>
      <c r="D51" s="29"/>
      <c r="E51" s="29"/>
      <c r="F51" s="29"/>
      <c r="G51" s="29"/>
    </row>
    <row r="52" spans="2:7" ht="21.75" customHeight="1" x14ac:dyDescent="0.4">
      <c r="B52" s="28"/>
      <c r="C52" s="28"/>
      <c r="D52" s="28"/>
      <c r="E52" s="28"/>
      <c r="F52" s="28"/>
      <c r="G52" s="28"/>
    </row>
    <row r="53" spans="2:7" ht="21.75" customHeight="1" x14ac:dyDescent="0.4">
      <c r="B53" s="29"/>
      <c r="C53" s="29"/>
      <c r="D53" s="29"/>
      <c r="E53" s="29"/>
      <c r="F53" s="29"/>
      <c r="G53" s="29"/>
    </row>
    <row r="54" spans="2:7" ht="21.75" customHeight="1" x14ac:dyDescent="0.4">
      <c r="B54" s="28"/>
      <c r="C54" s="28"/>
      <c r="D54" s="28"/>
      <c r="E54" s="28"/>
      <c r="F54" s="28"/>
      <c r="G54" s="28"/>
    </row>
    <row r="55" spans="2:7" ht="21.75" customHeight="1" x14ac:dyDescent="0.4">
      <c r="B55" s="29"/>
      <c r="C55" s="29"/>
      <c r="D55" s="29"/>
      <c r="E55" s="29"/>
      <c r="F55" s="29"/>
      <c r="G55" s="29"/>
    </row>
    <row r="56" spans="2:7" ht="21.75" customHeight="1" x14ac:dyDescent="0.4">
      <c r="B56" s="28"/>
      <c r="C56" s="28"/>
      <c r="D56" s="28"/>
      <c r="E56" s="28"/>
      <c r="F56" s="28"/>
      <c r="G56" s="28"/>
    </row>
    <row r="57" spans="2:7" ht="21.75" customHeight="1" x14ac:dyDescent="0.4">
      <c r="B57" s="29"/>
      <c r="C57" s="29"/>
      <c r="D57" s="29"/>
      <c r="E57" s="29"/>
      <c r="F57" s="29"/>
      <c r="G57" s="29"/>
    </row>
    <row r="58" spans="2:7" ht="21.75" customHeight="1" x14ac:dyDescent="0.4">
      <c r="B58" s="28"/>
      <c r="C58" s="28"/>
      <c r="D58" s="28"/>
      <c r="E58" s="28"/>
      <c r="F58" s="28"/>
      <c r="G58" s="28"/>
    </row>
    <row r="59" spans="2:7" ht="21.75" customHeight="1" x14ac:dyDescent="0.4">
      <c r="B59" s="29"/>
      <c r="C59" s="29"/>
      <c r="D59" s="29"/>
      <c r="E59" s="29"/>
      <c r="F59" s="29"/>
      <c r="G59" s="29"/>
    </row>
    <row r="60" spans="2:7" ht="21.75" customHeight="1" x14ac:dyDescent="0.4">
      <c r="B60" s="28"/>
      <c r="C60" s="28"/>
      <c r="D60" s="28"/>
      <c r="E60" s="28"/>
      <c r="F60" s="28"/>
      <c r="G60" s="28"/>
    </row>
    <row r="61" spans="2:7" ht="21.75" customHeight="1" x14ac:dyDescent="0.4">
      <c r="B61" s="29"/>
      <c r="C61" s="29"/>
      <c r="D61" s="29"/>
      <c r="E61" s="29"/>
      <c r="F61" s="29"/>
      <c r="G61" s="29"/>
    </row>
    <row r="62" spans="2:7" ht="21.75" customHeight="1" x14ac:dyDescent="0.4">
      <c r="B62" s="28"/>
      <c r="C62" s="28"/>
      <c r="D62" s="28"/>
      <c r="E62" s="28"/>
      <c r="F62" s="28"/>
      <c r="G62" s="28"/>
    </row>
    <row r="63" spans="2:7" ht="21.75" customHeight="1" x14ac:dyDescent="0.4">
      <c r="B63" s="29"/>
      <c r="C63" s="29"/>
      <c r="D63" s="29"/>
      <c r="E63" s="29"/>
      <c r="F63" s="29"/>
      <c r="G63" s="29"/>
    </row>
    <row r="64" spans="2:7" ht="21.75" customHeight="1" x14ac:dyDescent="0.4">
      <c r="B64" s="28"/>
      <c r="C64" s="28"/>
      <c r="D64" s="28"/>
      <c r="E64" s="28"/>
      <c r="F64" s="28"/>
      <c r="G64" s="28"/>
    </row>
    <row r="65" spans="2:7" ht="21.75" customHeight="1" x14ac:dyDescent="0.4">
      <c r="B65" s="29"/>
      <c r="C65" s="29"/>
      <c r="D65" s="29"/>
      <c r="E65" s="29"/>
      <c r="F65" s="29"/>
      <c r="G65" s="29"/>
    </row>
    <row r="66" spans="2:7" ht="21.75" customHeight="1" x14ac:dyDescent="0.4">
      <c r="B66" s="28"/>
      <c r="C66" s="28"/>
      <c r="D66" s="28"/>
      <c r="E66" s="28"/>
      <c r="F66" s="28"/>
      <c r="G66" s="28"/>
    </row>
    <row r="67" spans="2:7" ht="21.75" customHeight="1" x14ac:dyDescent="0.4">
      <c r="B67" s="29"/>
      <c r="C67" s="29"/>
      <c r="D67" s="29"/>
      <c r="E67" s="29"/>
      <c r="F67" s="29"/>
      <c r="G67" s="29"/>
    </row>
    <row r="68" spans="2:7" ht="21.75" customHeight="1" x14ac:dyDescent="0.4">
      <c r="B68" s="28"/>
      <c r="C68" s="28"/>
      <c r="D68" s="28"/>
      <c r="E68" s="28"/>
      <c r="F68" s="28"/>
      <c r="G68" s="28"/>
    </row>
    <row r="69" spans="2:7" ht="21.75" customHeight="1" x14ac:dyDescent="0.4">
      <c r="B69" s="29"/>
      <c r="C69" s="29"/>
      <c r="D69" s="29"/>
      <c r="E69" s="29"/>
      <c r="F69" s="29"/>
      <c r="G69" s="29"/>
    </row>
    <row r="70" spans="2:7" ht="21.75" customHeight="1" x14ac:dyDescent="0.4">
      <c r="B70" s="28"/>
      <c r="C70" s="28"/>
      <c r="D70" s="28"/>
      <c r="E70" s="28"/>
      <c r="F70" s="28"/>
      <c r="G70" s="28"/>
    </row>
    <row r="71" spans="2:7" ht="21.75" customHeight="1" x14ac:dyDescent="0.4">
      <c r="B71" s="29"/>
      <c r="C71" s="29"/>
      <c r="D71" s="29"/>
      <c r="E71" s="29"/>
      <c r="F71" s="29"/>
      <c r="G71" s="29"/>
    </row>
    <row r="72" spans="2:7" ht="21.75" customHeight="1" x14ac:dyDescent="0.4">
      <c r="B72" s="28"/>
      <c r="C72" s="28"/>
      <c r="D72" s="28"/>
      <c r="E72" s="28"/>
      <c r="F72" s="28"/>
      <c r="G72" s="28"/>
    </row>
    <row r="73" spans="2:7" ht="21.75" customHeight="1" x14ac:dyDescent="0.4">
      <c r="B73" s="29"/>
      <c r="C73" s="29"/>
      <c r="D73" s="29"/>
      <c r="E73" s="29"/>
      <c r="F73" s="29"/>
      <c r="G73" s="29"/>
    </row>
    <row r="74" spans="2:7" ht="21.75" customHeight="1" x14ac:dyDescent="0.4">
      <c r="B74" s="28"/>
      <c r="C74" s="28"/>
      <c r="D74" s="28"/>
      <c r="E74" s="28"/>
      <c r="F74" s="28"/>
      <c r="G74" s="28"/>
    </row>
    <row r="75" spans="2:7" ht="21.75" customHeight="1" x14ac:dyDescent="0.4">
      <c r="B75" s="29"/>
      <c r="C75" s="29"/>
      <c r="D75" s="29"/>
      <c r="E75" s="29"/>
      <c r="F75" s="29"/>
      <c r="G75" s="29"/>
    </row>
    <row r="76" spans="2:7" ht="21.75" customHeight="1" x14ac:dyDescent="0.4">
      <c r="B76" s="28"/>
      <c r="C76" s="28"/>
      <c r="D76" s="28"/>
      <c r="E76" s="28"/>
      <c r="F76" s="28"/>
      <c r="G76" s="28"/>
    </row>
    <row r="77" spans="2:7" ht="21.75" customHeight="1" x14ac:dyDescent="0.4">
      <c r="B77" s="29"/>
      <c r="C77" s="29"/>
      <c r="D77" s="29"/>
      <c r="E77" s="29"/>
      <c r="F77" s="29"/>
      <c r="G77" s="29"/>
    </row>
    <row r="78" spans="2:7" ht="21.75" customHeight="1" x14ac:dyDescent="0.4">
      <c r="B78" s="28"/>
      <c r="C78" s="28"/>
      <c r="D78" s="28"/>
      <c r="E78" s="28"/>
      <c r="F78" s="28"/>
      <c r="G78" s="28"/>
    </row>
    <row r="79" spans="2:7" ht="21.75" customHeight="1" x14ac:dyDescent="0.4">
      <c r="B79" s="29"/>
      <c r="C79" s="29"/>
      <c r="D79" s="29"/>
      <c r="E79" s="29"/>
      <c r="F79" s="29"/>
      <c r="G79" s="29"/>
    </row>
    <row r="80" spans="2:7" ht="21.75" customHeight="1" x14ac:dyDescent="0.4">
      <c r="B80" s="28"/>
      <c r="C80" s="28"/>
      <c r="D80" s="28"/>
      <c r="E80" s="28"/>
      <c r="F80" s="28"/>
      <c r="G80" s="28"/>
    </row>
    <row r="81" spans="2:7" ht="21.75" customHeight="1" x14ac:dyDescent="0.4">
      <c r="B81" s="29"/>
      <c r="C81" s="29"/>
      <c r="D81" s="29"/>
      <c r="E81" s="29"/>
      <c r="F81" s="29"/>
      <c r="G81" s="29"/>
    </row>
    <row r="82" spans="2:7" ht="21.75" customHeight="1" x14ac:dyDescent="0.4">
      <c r="B82" s="28"/>
      <c r="C82" s="28"/>
      <c r="D82" s="28"/>
      <c r="E82" s="28"/>
      <c r="F82" s="28"/>
      <c r="G82" s="28"/>
    </row>
    <row r="83" spans="2:7" ht="21.75" customHeight="1" x14ac:dyDescent="0.4">
      <c r="B83" s="29"/>
      <c r="C83" s="29"/>
      <c r="D83" s="29"/>
      <c r="E83" s="29"/>
      <c r="F83" s="29"/>
      <c r="G83" s="29"/>
    </row>
    <row r="84" spans="2:7" ht="21.75" customHeight="1" x14ac:dyDescent="0.4">
      <c r="B84" s="28"/>
      <c r="C84" s="28"/>
      <c r="D84" s="28"/>
      <c r="E84" s="28"/>
      <c r="F84" s="28"/>
      <c r="G84" s="28"/>
    </row>
    <row r="85" spans="2:7" ht="21.75" customHeight="1" x14ac:dyDescent="0.4">
      <c r="B85" s="29"/>
      <c r="C85" s="29"/>
      <c r="D85" s="29"/>
      <c r="E85" s="29"/>
      <c r="F85" s="29"/>
      <c r="G85" s="29"/>
    </row>
    <row r="86" spans="2:7" ht="21.75" customHeight="1" x14ac:dyDescent="0.4">
      <c r="B86" s="28"/>
      <c r="C86" s="28"/>
      <c r="D86" s="28"/>
      <c r="E86" s="28"/>
      <c r="F86" s="28"/>
      <c r="G86" s="28"/>
    </row>
    <row r="87" spans="2:7" ht="21.75" customHeight="1" x14ac:dyDescent="0.4">
      <c r="B87" s="29"/>
      <c r="C87" s="29"/>
      <c r="D87" s="29"/>
      <c r="E87" s="29"/>
      <c r="F87" s="29"/>
      <c r="G87" s="29"/>
    </row>
    <row r="88" spans="2:7" ht="21.75" customHeight="1" x14ac:dyDescent="0.4">
      <c r="B88" s="28"/>
      <c r="C88" s="28"/>
      <c r="D88" s="28"/>
      <c r="E88" s="28"/>
      <c r="F88" s="28"/>
      <c r="G88" s="28"/>
    </row>
    <row r="89" spans="2:7" ht="21.75" customHeight="1" x14ac:dyDescent="0.4">
      <c r="B89" s="29"/>
      <c r="C89" s="29"/>
      <c r="D89" s="29"/>
      <c r="E89" s="29"/>
      <c r="F89" s="29"/>
      <c r="G89" s="29"/>
    </row>
    <row r="90" spans="2:7" ht="21.75" customHeight="1" x14ac:dyDescent="0.4">
      <c r="B90" s="28"/>
      <c r="C90" s="28"/>
      <c r="D90" s="28"/>
      <c r="E90" s="28"/>
      <c r="F90" s="28"/>
      <c r="G90" s="28"/>
    </row>
    <row r="91" spans="2:7" ht="21.75" customHeight="1" x14ac:dyDescent="0.4">
      <c r="B91" s="29"/>
      <c r="C91" s="29"/>
      <c r="D91" s="29"/>
      <c r="E91" s="29"/>
      <c r="F91" s="29"/>
      <c r="G91" s="29"/>
    </row>
    <row r="92" spans="2:7" ht="21.75" customHeight="1" x14ac:dyDescent="0.4">
      <c r="B92" s="28"/>
      <c r="C92" s="28"/>
      <c r="D92" s="28"/>
      <c r="E92" s="28"/>
      <c r="F92" s="28"/>
      <c r="G92" s="28"/>
    </row>
    <row r="93" spans="2:7" ht="21.75" customHeight="1" x14ac:dyDescent="0.4">
      <c r="B93" s="29"/>
      <c r="C93" s="29"/>
      <c r="D93" s="29"/>
      <c r="E93" s="29"/>
      <c r="F93" s="29"/>
      <c r="G93" s="29"/>
    </row>
    <row r="94" spans="2:7" ht="21.75" customHeight="1" x14ac:dyDescent="0.4">
      <c r="B94" s="28"/>
      <c r="C94" s="28"/>
      <c r="D94" s="28"/>
      <c r="E94" s="28"/>
      <c r="F94" s="28"/>
      <c r="G94" s="28"/>
    </row>
    <row r="95" spans="2:7" ht="21.75" customHeight="1" x14ac:dyDescent="0.4">
      <c r="B95" s="29"/>
      <c r="C95" s="29"/>
      <c r="D95" s="29"/>
      <c r="E95" s="29"/>
      <c r="F95" s="29"/>
      <c r="G95" s="29"/>
    </row>
    <row r="96" spans="2:7" ht="21.75" customHeight="1" x14ac:dyDescent="0.4">
      <c r="B96" s="28"/>
      <c r="C96" s="28"/>
      <c r="D96" s="28"/>
      <c r="E96" s="28"/>
      <c r="F96" s="28"/>
      <c r="G96" s="28"/>
    </row>
    <row r="97" spans="2:7" ht="21.75" customHeight="1" x14ac:dyDescent="0.4">
      <c r="B97" s="29"/>
      <c r="C97" s="29"/>
      <c r="D97" s="29"/>
      <c r="E97" s="29"/>
      <c r="F97" s="29"/>
      <c r="G97" s="29"/>
    </row>
    <row r="98" spans="2:7" ht="21.75" customHeight="1" x14ac:dyDescent="0.4">
      <c r="B98" s="28"/>
      <c r="C98" s="28"/>
      <c r="D98" s="28"/>
      <c r="E98" s="28"/>
      <c r="F98" s="28"/>
      <c r="G98" s="28"/>
    </row>
    <row r="99" spans="2:7" ht="21.75" customHeight="1" x14ac:dyDescent="0.4">
      <c r="B99" s="29"/>
      <c r="C99" s="29"/>
      <c r="D99" s="29"/>
      <c r="E99" s="29"/>
      <c r="F99" s="29"/>
      <c r="G99" s="29"/>
    </row>
    <row r="100" spans="2:7" ht="21.75" customHeight="1" x14ac:dyDescent="0.4">
      <c r="B100" s="28"/>
      <c r="C100" s="28"/>
      <c r="D100" s="28"/>
      <c r="E100" s="28"/>
      <c r="F100" s="28"/>
      <c r="G100" s="28"/>
    </row>
    <row r="101" spans="2:7" ht="21.75" customHeight="1" x14ac:dyDescent="0.4">
      <c r="B101" s="29"/>
      <c r="C101" s="29"/>
      <c r="D101" s="29"/>
      <c r="E101" s="29"/>
      <c r="F101" s="29"/>
      <c r="G101" s="29"/>
    </row>
    <row r="102" spans="2:7" ht="21.75" customHeight="1" x14ac:dyDescent="0.4">
      <c r="B102" s="28"/>
      <c r="C102" s="28"/>
      <c r="D102" s="28"/>
      <c r="E102" s="28"/>
      <c r="F102" s="28"/>
      <c r="G102" s="28"/>
    </row>
    <row r="103" spans="2:7" ht="21.75" customHeight="1" x14ac:dyDescent="0.4">
      <c r="B103" s="29"/>
      <c r="C103" s="29"/>
      <c r="D103" s="29"/>
      <c r="E103" s="29"/>
      <c r="F103" s="29"/>
      <c r="G103" s="29"/>
    </row>
    <row r="104" spans="2:7" ht="21.75" customHeight="1" x14ac:dyDescent="0.4">
      <c r="B104" s="28"/>
      <c r="C104" s="28"/>
      <c r="D104" s="28"/>
      <c r="E104" s="28"/>
      <c r="F104" s="28"/>
      <c r="G104" s="28"/>
    </row>
  </sheetData>
  <mergeCells count="1">
    <mergeCell ref="B2:G2"/>
  </mergeCells>
  <dataValidations count="1">
    <dataValidation type="list" allowBlank="1" sqref="C5:C104" xr:uid="{00000000-0002-0000-0300-000000000000}">
      <formula1>"Captura de Pantalla,Reporte PDF,Log de Ejecución,Documento Técnico,URL / Link,Video,Otro"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808080"/>
  </sheetPr>
  <dimension ref="B1:C19"/>
  <sheetViews>
    <sheetView showGridLines="0" zoomScaleNormal="100" workbookViewId="0"/>
  </sheetViews>
  <sheetFormatPr baseColWidth="10" defaultColWidth="8.69140625" defaultRowHeight="14.6" x14ac:dyDescent="0.4"/>
  <cols>
    <col min="1" max="1" width="3" customWidth="1"/>
    <col min="2" max="2" width="20" customWidth="1"/>
    <col min="3" max="3" width="60" customWidth="1"/>
    <col min="4" max="4" width="3" customWidth="1"/>
  </cols>
  <sheetData>
    <row r="1" spans="2:3" ht="9.75" customHeight="1" x14ac:dyDescent="0.4"/>
    <row r="2" spans="2:3" ht="42" customHeight="1" x14ac:dyDescent="0.4">
      <c r="B2" s="1" t="s">
        <v>125</v>
      </c>
      <c r="C2" s="1"/>
    </row>
    <row r="4" spans="2:3" ht="9.75" customHeight="1" x14ac:dyDescent="0.4"/>
    <row r="5" spans="2:3" ht="27.75" customHeight="1" x14ac:dyDescent="0.4">
      <c r="B5" s="31" t="s">
        <v>126</v>
      </c>
      <c r="C5" s="32" t="s">
        <v>127</v>
      </c>
    </row>
    <row r="6" spans="2:3" ht="9.75" customHeight="1" x14ac:dyDescent="0.4"/>
    <row r="7" spans="2:3" ht="27.75" customHeight="1" x14ac:dyDescent="0.4">
      <c r="B7" s="31" t="s">
        <v>128</v>
      </c>
      <c r="C7" s="32" t="s">
        <v>129</v>
      </c>
    </row>
    <row r="8" spans="2:3" ht="9.75" customHeight="1" x14ac:dyDescent="0.4"/>
    <row r="9" spans="2:3" ht="27.75" customHeight="1" x14ac:dyDescent="0.4">
      <c r="B9" s="31" t="s">
        <v>130</v>
      </c>
      <c r="C9" s="32" t="s">
        <v>131</v>
      </c>
    </row>
    <row r="10" spans="2:3" ht="9.75" customHeight="1" x14ac:dyDescent="0.4"/>
    <row r="11" spans="2:3" ht="27.75" customHeight="1" x14ac:dyDescent="0.4">
      <c r="B11" s="31" t="s">
        <v>132</v>
      </c>
      <c r="C11" s="32" t="s">
        <v>133</v>
      </c>
    </row>
    <row r="12" spans="2:3" ht="9.75" customHeight="1" x14ac:dyDescent="0.4"/>
    <row r="13" spans="2:3" ht="27.75" customHeight="1" x14ac:dyDescent="0.4">
      <c r="B13" s="31" t="s">
        <v>134</v>
      </c>
      <c r="C13" s="32" t="s">
        <v>135</v>
      </c>
    </row>
    <row r="14" spans="2:3" ht="9.75" customHeight="1" x14ac:dyDescent="0.4"/>
    <row r="15" spans="2:3" ht="27.75" customHeight="1" x14ac:dyDescent="0.4">
      <c r="B15" s="31" t="s">
        <v>136</v>
      </c>
      <c r="C15" s="32" t="s">
        <v>137</v>
      </c>
    </row>
    <row r="16" spans="2:3" ht="9.75" customHeight="1" x14ac:dyDescent="0.4"/>
    <row r="17" spans="2:3" ht="27.75" customHeight="1" x14ac:dyDescent="0.4">
      <c r="B17" s="31" t="s">
        <v>138</v>
      </c>
      <c r="C17" s="32" t="s">
        <v>139</v>
      </c>
    </row>
    <row r="18" spans="2:3" ht="9.75" customHeight="1" x14ac:dyDescent="0.4"/>
    <row r="19" spans="2:3" ht="27.75" customHeight="1" x14ac:dyDescent="0.4">
      <c r="B19" s="31" t="s">
        <v>140</v>
      </c>
      <c r="C19" s="32" t="s">
        <v>141</v>
      </c>
    </row>
  </sheetData>
  <mergeCells count="1">
    <mergeCell ref="B2:C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📊 Dashboard</vt:lpstr>
      <vt:lpstr>Pipeline</vt:lpstr>
      <vt:lpstr>Deuda Técnica</vt:lpstr>
      <vt:lpstr>Evidencias</vt:lpstr>
      <vt:lpstr>ℹ️ 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Eduardo Rojas</cp:lastModifiedBy>
  <cp:revision>0</cp:revision>
  <dcterms:created xsi:type="dcterms:W3CDTF">2026-03-11T14:18:01Z</dcterms:created>
  <dcterms:modified xsi:type="dcterms:W3CDTF">2026-03-13T02:06:44Z</dcterms:modified>
  <dc:language>en-US</dc:language>
</cp:coreProperties>
</file>